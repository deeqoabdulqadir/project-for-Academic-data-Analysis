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c\Documents\data analysisc course\"/>
    </mc:Choice>
  </mc:AlternateContent>
  <xr:revisionPtr revIDLastSave="0" documentId="13_ncr:1_{0E87D913-9CD0-4F92-A6E0-AB07534FA67C}" xr6:coauthVersionLast="47" xr6:coauthVersionMax="47" xr10:uidLastSave="{00000000-0000-0000-0000-000000000000}"/>
  <bookViews>
    <workbookView xWindow="-110" yWindow="-110" windowWidth="19420" windowHeight="10300" firstSheet="1" activeTab="5" xr2:uid="{37314C57-5C8D-4C44-B9A0-C7D39E05E50E}"/>
  </bookViews>
  <sheets>
    <sheet name="Original data" sheetId="10" r:id="rId1"/>
    <sheet name="Clean_Data" sheetId="2" r:id="rId2"/>
    <sheet name="Analysis" sheetId="3" r:id="rId3"/>
    <sheet name="PivotTables" sheetId="6" r:id="rId4"/>
    <sheet name="Dashboard" sheetId="7" r:id="rId5"/>
    <sheet name="Sheet1" sheetId="11" r:id="rId6"/>
    <sheet name="Project-info" sheetId="1" r:id="rId7"/>
  </sheets>
  <externalReferences>
    <externalReference r:id="rId8"/>
  </externalReferences>
  <definedNames>
    <definedName name="Slicer_Academic_Status">#N/A</definedName>
    <definedName name="Slicer_Academic_Status1">#N/A</definedName>
    <definedName name="Slicer_Attendance_Percent">#N/A</definedName>
    <definedName name="Slicer_Midterm_Score">#N/A</definedName>
    <definedName name="Slicer_Program">#N/A</definedName>
    <definedName name="Slicer_Program1">#N/A</definedName>
    <definedName name="Slicer_Program2">#N/A</definedName>
    <definedName name="Slicer_Program3">#N/A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2" l="1"/>
  <c r="L3" i="2"/>
  <c r="J3" i="2"/>
  <c r="B25" i="3"/>
  <c r="B24" i="3"/>
  <c r="B23" i="3"/>
  <c r="B19" i="3"/>
  <c r="B18" i="3"/>
  <c r="B5" i="3" a="1"/>
  <c r="B5" i="3" s="1"/>
  <c r="J10" i="2"/>
  <c r="J8" i="2"/>
  <c r="B20" i="3"/>
  <c r="B17" i="3"/>
  <c r="K8" i="2"/>
  <c r="K9" i="2"/>
  <c r="B9" i="3"/>
  <c r="B15" i="3"/>
  <c r="D30" i="3" l="1"/>
  <c r="C32" i="3"/>
  <c r="C31" i="3"/>
  <c r="C30" i="3"/>
  <c r="D32" i="3"/>
  <c r="B32" i="3"/>
  <c r="D31" i="3"/>
  <c r="B31" i="3"/>
  <c r="B30" i="3"/>
  <c r="A15" i="1"/>
  <c r="B16" i="3"/>
  <c r="B11" i="3"/>
  <c r="B10" i="3"/>
  <c r="B8" i="3"/>
  <c r="B7" i="3" l="1"/>
  <c r="B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<sst xmlns="http://schemas.openxmlformats.org/spreadsheetml/2006/main" count="2009" uniqueCount="379">
  <si>
    <t>Excel Date Analysis Project</t>
  </si>
  <si>
    <t>Project Title</t>
  </si>
  <si>
    <t>Dataset Name</t>
  </si>
  <si>
    <t>Book11.xlsx — Student Performance Dataset</t>
  </si>
  <si>
    <t>Dataset Source</t>
  </si>
  <si>
    <t>User-provided workbook (Book11.xlsx)</t>
  </si>
  <si>
    <t>Purpose</t>
  </si>
  <si>
    <t>Prepare, clean, analyze and visualize student academic performance data.</t>
  </si>
  <si>
    <t>Original Records</t>
  </si>
  <si>
    <t>Original Variables</t>
  </si>
  <si>
    <t>Cleaned Records</t>
  </si>
  <si>
    <t>Cleaned Variables</t>
  </si>
  <si>
    <t>doublecate</t>
  </si>
  <si>
    <t>Student_ID</t>
  </si>
  <si>
    <t>Program</t>
  </si>
  <si>
    <t>Attendance_Percent</t>
  </si>
  <si>
    <t>Assignment_Score</t>
  </si>
  <si>
    <t>Midterm_Score</t>
  </si>
  <si>
    <t>Final_Score</t>
  </si>
  <si>
    <t>Academic_Status</t>
  </si>
  <si>
    <t>STD0229</t>
  </si>
  <si>
    <t>Public Health</t>
  </si>
  <si>
    <t>At Risk</t>
  </si>
  <si>
    <t>STD0112</t>
  </si>
  <si>
    <t>Business Administration</t>
  </si>
  <si>
    <t>STD0272</t>
  </si>
  <si>
    <t>Good Standing</t>
  </si>
  <si>
    <t>STD0055</t>
  </si>
  <si>
    <t>Engineering</t>
  </si>
  <si>
    <t>STD0045</t>
  </si>
  <si>
    <t>Computer Science</t>
  </si>
  <si>
    <t>good standing</t>
  </si>
  <si>
    <t>STD0097</t>
  </si>
  <si>
    <t>STD0284</t>
  </si>
  <si>
    <t>Data Science</t>
  </si>
  <si>
    <t>STD0261</t>
  </si>
  <si>
    <t>STD0160</t>
  </si>
  <si>
    <t>STD0096</t>
  </si>
  <si>
    <t>STD0214</t>
  </si>
  <si>
    <t>-</t>
  </si>
  <si>
    <t>STD0249</t>
  </si>
  <si>
    <t>STD0279</t>
  </si>
  <si>
    <t>STD0213</t>
  </si>
  <si>
    <t>STD0215</t>
  </si>
  <si>
    <t>STD0236</t>
  </si>
  <si>
    <t>STD0253</t>
  </si>
  <si>
    <t>Economics</t>
  </si>
  <si>
    <t>STD0053</t>
  </si>
  <si>
    <t>STD0009</t>
  </si>
  <si>
    <t>STD0057</t>
  </si>
  <si>
    <t>STD0259</t>
  </si>
  <si>
    <t>STD0289</t>
  </si>
  <si>
    <t>STD0188</t>
  </si>
  <si>
    <t>STD0269</t>
  </si>
  <si>
    <t>STD0147</t>
  </si>
  <si>
    <t>STD0276</t>
  </si>
  <si>
    <t>STD0101</t>
  </si>
  <si>
    <t>STD0291</t>
  </si>
  <si>
    <t>STD0133</t>
  </si>
  <si>
    <t>STD0171</t>
  </si>
  <si>
    <t>STD0016</t>
  </si>
  <si>
    <t>STD0242</t>
  </si>
  <si>
    <t>AT RISK</t>
  </si>
  <si>
    <t>STD0041</t>
  </si>
  <si>
    <t>STD0282</t>
  </si>
  <si>
    <t>STD0088</t>
  </si>
  <si>
    <t>STD0186</t>
  </si>
  <si>
    <t>STD0187</t>
  </si>
  <si>
    <t>STD0020</t>
  </si>
  <si>
    <t>STD0113</t>
  </si>
  <si>
    <t>STD0093</t>
  </si>
  <si>
    <t>STD0114</t>
  </si>
  <si>
    <t>STD0118</t>
  </si>
  <si>
    <t>STD0040</t>
  </si>
  <si>
    <t>GOOD STANDING</t>
  </si>
  <si>
    <t>STD0286</t>
  </si>
  <si>
    <t>STD0224</t>
  </si>
  <si>
    <t>STD0091</t>
  </si>
  <si>
    <t>STD0185</t>
  </si>
  <si>
    <t>STD0212</t>
  </si>
  <si>
    <t>STD0210</t>
  </si>
  <si>
    <t>STD0281</t>
  </si>
  <si>
    <t>STD0027</t>
  </si>
  <si>
    <t>STD0199</t>
  </si>
  <si>
    <t>STD0039</t>
  </si>
  <si>
    <t>STD0050</t>
  </si>
  <si>
    <t>STD0135</t>
  </si>
  <si>
    <t>STD0018</t>
  </si>
  <si>
    <t>STD0034</t>
  </si>
  <si>
    <t>STD0066</t>
  </si>
  <si>
    <t>STD0086</t>
  </si>
  <si>
    <t>Unknown</t>
  </si>
  <si>
    <t>STD0193</t>
  </si>
  <si>
    <t>STD0081</t>
  </si>
  <si>
    <t>STD0052</t>
  </si>
  <si>
    <t>STD0201</t>
  </si>
  <si>
    <t>STD0275</t>
  </si>
  <si>
    <t>STD0005</t>
  </si>
  <si>
    <t>STD0134</t>
  </si>
  <si>
    <t>STD0138</t>
  </si>
  <si>
    <t>STD0098</t>
  </si>
  <si>
    <t>STD0197</t>
  </si>
  <si>
    <t>STD0056</t>
  </si>
  <si>
    <t>STD0108</t>
  </si>
  <si>
    <t>STD0168</t>
  </si>
  <si>
    <t>STD0148</t>
  </si>
  <si>
    <t>STD0285</t>
  </si>
  <si>
    <t>STD0002</t>
  </si>
  <si>
    <t>STD0157</t>
  </si>
  <si>
    <t>STD0217</t>
  </si>
  <si>
    <t>STD0221</t>
  </si>
  <si>
    <t>engineering</t>
  </si>
  <si>
    <t>STD0205</t>
  </si>
  <si>
    <t>STD0084</t>
  </si>
  <si>
    <t>STD0082</t>
  </si>
  <si>
    <t>STD0146</t>
  </si>
  <si>
    <t>STD0069</t>
  </si>
  <si>
    <t>STD0119</t>
  </si>
  <si>
    <t>STD0032</t>
  </si>
  <si>
    <t>STD0090</t>
  </si>
  <si>
    <t>STD0072</t>
  </si>
  <si>
    <t>STD0049</t>
  </si>
  <si>
    <t>STD0191</t>
  </si>
  <si>
    <t>STD0287</t>
  </si>
  <si>
    <t>STD0127</t>
  </si>
  <si>
    <t>STD0181</t>
  </si>
  <si>
    <t>STD0216</t>
  </si>
  <si>
    <t>STD0233</t>
  </si>
  <si>
    <t>STD0105</t>
  </si>
  <si>
    <t>STD0078</t>
  </si>
  <si>
    <t>STD0180</t>
  </si>
  <si>
    <t>STD0116</t>
  </si>
  <si>
    <t>STD0007</t>
  </si>
  <si>
    <t>STD0141</t>
  </si>
  <si>
    <t>STD0260</t>
  </si>
  <si>
    <t>STD0222</t>
  </si>
  <si>
    <t>STD0251</t>
  </si>
  <si>
    <t>STD0132</t>
  </si>
  <si>
    <t>STD0099</t>
  </si>
  <si>
    <t>STD0182</t>
  </si>
  <si>
    <t>STD0227</t>
  </si>
  <si>
    <t>STD0121</t>
  </si>
  <si>
    <t>STD0170</t>
  </si>
  <si>
    <t>STD0252</t>
  </si>
  <si>
    <t>STD0228</t>
  </si>
  <si>
    <t>STD0080</t>
  </si>
  <si>
    <t>STD0179</t>
  </si>
  <si>
    <t>STD0274</t>
  </si>
  <si>
    <t>STD0010</t>
  </si>
  <si>
    <t>STD0102</t>
  </si>
  <si>
    <t>STD0021</t>
  </si>
  <si>
    <t>STD0011</t>
  </si>
  <si>
    <t>STD0037</t>
  </si>
  <si>
    <t>STD0013</t>
  </si>
  <si>
    <t>STD0025</t>
  </si>
  <si>
    <t>STD0076</t>
  </si>
  <si>
    <t>STD0111</t>
  </si>
  <si>
    <t>STD0256</t>
  </si>
  <si>
    <t>STD0071</t>
  </si>
  <si>
    <t>STD0022</t>
  </si>
  <si>
    <t>STD0268</t>
  </si>
  <si>
    <t>STD0077</t>
  </si>
  <si>
    <t>STD0123</t>
  </si>
  <si>
    <t>STD0131</t>
  </si>
  <si>
    <t>STD0035</t>
  </si>
  <si>
    <t>STD0176</t>
  </si>
  <si>
    <t>STD0254</t>
  </si>
  <si>
    <t>STD0270</t>
  </si>
  <si>
    <t>STD0203</t>
  </si>
  <si>
    <t>STD0030</t>
  </si>
  <si>
    <t>STD0267</t>
  </si>
  <si>
    <t>STD0051</t>
  </si>
  <si>
    <t>STD0008</t>
  </si>
  <si>
    <t>STD0046</t>
  </si>
  <si>
    <t>STD0004</t>
  </si>
  <si>
    <t>STD0218</t>
  </si>
  <si>
    <t>STD0206</t>
  </si>
  <si>
    <t>STD0143</t>
  </si>
  <si>
    <t>STD0144</t>
  </si>
  <si>
    <t>STD0255</t>
  </si>
  <si>
    <t>STD0074</t>
  </si>
  <si>
    <t>STD0158</t>
  </si>
  <si>
    <t>CS</t>
  </si>
  <si>
    <t>STD0024</t>
  </si>
  <si>
    <t>STD0273</t>
  </si>
  <si>
    <t>at risk</t>
  </si>
  <si>
    <t>STD0042</t>
  </si>
  <si>
    <t>STD0154</t>
  </si>
  <si>
    <t>STD0126</t>
  </si>
  <si>
    <t>STD0271</t>
  </si>
  <si>
    <t>STD0184</t>
  </si>
  <si>
    <t>STD0246</t>
  </si>
  <si>
    <t>STD0058</t>
  </si>
  <si>
    <t>STD0194</t>
  </si>
  <si>
    <t>STD0258</t>
  </si>
  <si>
    <t>STD0044</t>
  </si>
  <si>
    <t>STD0208</t>
  </si>
  <si>
    <t>STD0023</t>
  </si>
  <si>
    <t>STD0278</t>
  </si>
  <si>
    <t>STD0089</t>
  </si>
  <si>
    <t>STD0110</t>
  </si>
  <si>
    <t>STD0070</t>
  </si>
  <si>
    <t>STD0094</t>
  </si>
  <si>
    <t>STD0153</t>
  </si>
  <si>
    <t>STD0137</t>
  </si>
  <si>
    <t>STD0177</t>
  </si>
  <si>
    <t>PH</t>
  </si>
  <si>
    <t>AR</t>
  </si>
  <si>
    <t>STD0163</t>
  </si>
  <si>
    <t>STD0124</t>
  </si>
  <si>
    <t>STD0245</t>
  </si>
  <si>
    <t>STD0083</t>
  </si>
  <si>
    <t>STD0095</t>
  </si>
  <si>
    <t>STD0006</t>
  </si>
  <si>
    <t>STD0196</t>
  </si>
  <si>
    <t>STD0136</t>
  </si>
  <si>
    <t>STD0166</t>
  </si>
  <si>
    <t>STD0109</t>
  </si>
  <si>
    <t>STD0266</t>
  </si>
  <si>
    <t>STD0239</t>
  </si>
  <si>
    <t>STD0165</t>
  </si>
  <si>
    <t>STD0250</t>
  </si>
  <si>
    <t>STD0120</t>
  </si>
  <si>
    <t>STD0237</t>
  </si>
  <si>
    <t>STD0059</t>
  </si>
  <si>
    <t>STD0100</t>
  </si>
  <si>
    <t>STD0234</t>
  </si>
  <si>
    <t>STD0225</t>
  </si>
  <si>
    <t>STD0063</t>
  </si>
  <si>
    <t>STD0288</t>
  </si>
  <si>
    <t>STD0062</t>
  </si>
  <si>
    <t>STD0036</t>
  </si>
  <si>
    <t>STD0028</t>
  </si>
  <si>
    <t>STD0262</t>
  </si>
  <si>
    <t>STD0115</t>
  </si>
  <si>
    <t>STD0106</t>
  </si>
  <si>
    <t>STD0001</t>
  </si>
  <si>
    <t>STD0243</t>
  </si>
  <si>
    <t>STD0162</t>
  </si>
  <si>
    <t>STD0122</t>
  </si>
  <si>
    <t>STD0161</t>
  </si>
  <si>
    <t>STD0073</t>
  </si>
  <si>
    <t>STD0012</t>
  </si>
  <si>
    <t>STD0248</t>
  </si>
  <si>
    <t>STD0202</t>
  </si>
  <si>
    <t>STD0149</t>
  </si>
  <si>
    <t>STD0219</t>
  </si>
  <si>
    <t>STD0240</t>
  </si>
  <si>
    <t>STD0104</t>
  </si>
  <si>
    <t>STD0178</t>
  </si>
  <si>
    <t>STD0198</t>
  </si>
  <si>
    <t>STD0263</t>
  </si>
  <si>
    <t>STD0290</t>
  </si>
  <si>
    <t>STD0017</t>
  </si>
  <si>
    <t>STD0192</t>
  </si>
  <si>
    <t>STD0087</t>
  </si>
  <si>
    <t>STD0129</t>
  </si>
  <si>
    <t>STD0264</t>
  </si>
  <si>
    <t>STD0230</t>
  </si>
  <si>
    <t>STD0075</t>
  </si>
  <si>
    <t>STD0085</t>
  </si>
  <si>
    <t>STD0139</t>
  </si>
  <si>
    <t>STD0277</t>
  </si>
  <si>
    <t>STD0029</t>
  </si>
  <si>
    <t>STD0280</t>
  </si>
  <si>
    <t>STD0167</t>
  </si>
  <si>
    <t>STD0207</t>
  </si>
  <si>
    <t>STD0223</t>
  </si>
  <si>
    <t>STD0174</t>
  </si>
  <si>
    <t>data science</t>
  </si>
  <si>
    <t>STD0151</t>
  </si>
  <si>
    <t>STD0175</t>
  </si>
  <si>
    <t>STD0189</t>
  </si>
  <si>
    <t>STD0103</t>
  </si>
  <si>
    <t>STD0200</t>
  </si>
  <si>
    <t>STD0257</t>
  </si>
  <si>
    <t>STD0190</t>
  </si>
  <si>
    <t>STD0232</t>
  </si>
  <si>
    <t>STD0068</t>
  </si>
  <si>
    <t>STD0079</t>
  </si>
  <si>
    <t>STD0142</t>
  </si>
  <si>
    <t>STD0015</t>
  </si>
  <si>
    <t>STD0128</t>
  </si>
  <si>
    <t>STD0125</t>
  </si>
  <si>
    <t>STD0204</t>
  </si>
  <si>
    <t>STD0156</t>
  </si>
  <si>
    <t>STD0172</t>
  </si>
  <si>
    <t>STD0150</t>
  </si>
  <si>
    <t>STD0003</t>
  </si>
  <si>
    <t>STD0283</t>
  </si>
  <si>
    <t>STD0238</t>
  </si>
  <si>
    <t>STD0195</t>
  </si>
  <si>
    <t>STD0220</t>
  </si>
  <si>
    <t>STD0235</t>
  </si>
  <si>
    <t>STD0159</t>
  </si>
  <si>
    <t>STD0211</t>
  </si>
  <si>
    <t>STD0292</t>
  </si>
  <si>
    <t>STD0038</t>
  </si>
  <si>
    <t>STD0117</t>
  </si>
  <si>
    <t>STD0145</t>
  </si>
  <si>
    <t>STD0014</t>
  </si>
  <si>
    <t>STD0155</t>
  </si>
  <si>
    <t>STD0061</t>
  </si>
  <si>
    <t>STD0152</t>
  </si>
  <si>
    <t>STD0244</t>
  </si>
  <si>
    <t>STD0265</t>
  </si>
  <si>
    <t>STD0048</t>
  </si>
  <si>
    <t>STD0130</t>
  </si>
  <si>
    <t>STD0140</t>
  </si>
  <si>
    <t>STD0169</t>
  </si>
  <si>
    <t>STD0043</t>
  </si>
  <si>
    <t>STD0231</t>
  </si>
  <si>
    <t>STD0065</t>
  </si>
  <si>
    <t>STD0033</t>
  </si>
  <si>
    <t>STD0092</t>
  </si>
  <si>
    <t>STD0173</t>
  </si>
  <si>
    <t>STD0067</t>
  </si>
  <si>
    <t>unknow</t>
  </si>
  <si>
    <t>ANALYSIS — FORMULAS, TEXT CLEANING &amp; QUALITY CHECKS</t>
  </si>
  <si>
    <t>Basic Formula Analysis</t>
  </si>
  <si>
    <t>Total records</t>
  </si>
  <si>
    <t>Unique Student IDs</t>
  </si>
  <si>
    <t>Average Attendance</t>
  </si>
  <si>
    <t>Average Assignment Score</t>
  </si>
  <si>
    <t>Average Midterm Score</t>
  </si>
  <si>
    <t>Average Final Score</t>
  </si>
  <si>
    <t>Minimum Final Score</t>
  </si>
  <si>
    <t>Maximum Final Score</t>
  </si>
  <si>
    <t>Conditional Functions</t>
  </si>
  <si>
    <t>Good Standing Count</t>
  </si>
  <si>
    <t>At Risk Count</t>
  </si>
  <si>
    <t>Unknown Status Count</t>
  </si>
  <si>
    <t>Average Final — Good Standing</t>
  </si>
  <si>
    <t>Average Final — At Risk</t>
  </si>
  <si>
    <t>Students with Final ≥ 70</t>
  </si>
  <si>
    <t>Logical Analysis</t>
  </si>
  <si>
    <t>Performance Flag Example</t>
  </si>
  <si>
    <t>At Risk + Low Attendance Example</t>
  </si>
  <si>
    <t>High Score OR High Attendance</t>
  </si>
  <si>
    <t>Text Cleaning — 3 Excel Functions</t>
  </si>
  <si>
    <t>Original</t>
  </si>
  <si>
    <t>TRIM</t>
  </si>
  <si>
    <t>PROPER</t>
  </si>
  <si>
    <t>UPPER</t>
  </si>
  <si>
    <t xml:space="preserve">  computer science  </t>
  </si>
  <si>
    <t>public health</t>
  </si>
  <si>
    <t>Row Labels</t>
  </si>
  <si>
    <t>(blank)</t>
  </si>
  <si>
    <t>Grand Total</t>
  </si>
  <si>
    <t>Count of Student_ID</t>
  </si>
  <si>
    <t>Count of Final_Score</t>
  </si>
  <si>
    <t>Sum of Attendance_Percent</t>
  </si>
  <si>
    <t>Sum of Midterm_Score</t>
  </si>
  <si>
    <t>(All)</t>
  </si>
  <si>
    <t>Count of Assignment_Score</t>
  </si>
  <si>
    <t>N/A</t>
  </si>
  <si>
    <t>NULL</t>
  </si>
  <si>
    <t>Findings</t>
  </si>
  <si>
    <t>1. 69% of students are in Good Standing.</t>
  </si>
  <si>
    <t>2. 25% of students are At Risk.</t>
  </si>
  <si>
    <t>3. Business Administration has the most students (59).</t>
  </si>
  <si>
    <t>4. Data Science has the highest average attendance (82.9%).</t>
  </si>
  <si>
    <t>5. Computer Science has the highest average Final Score (72.8%).</t>
  </si>
  <si>
    <t>Recommendations</t>
  </si>
  <si>
    <t>1. Give extra support to At-Risk students.</t>
  </si>
  <si>
    <t>2. Improve student attendance and academic performance.</t>
  </si>
  <si>
    <t>3. Use the dashboard to monitor student performance regularly.</t>
  </si>
  <si>
    <t>205 ÷ 297 × 100 = 69.02% ≈ 69%</t>
  </si>
  <si>
    <t>74 ÷ 297 × 100 = 24.96%</t>
  </si>
  <si>
    <t>Data → Sort → Final Score → Smallest to Largest</t>
  </si>
  <si>
    <t>date sort midter_score smallest to largest</t>
  </si>
  <si>
    <t>date sort midter_score largest to smallest</t>
  </si>
  <si>
    <r>
      <rPr>
        <sz val="20"/>
        <rFont val="Calibri"/>
        <family val="2"/>
        <scheme val="minor"/>
      </rPr>
      <t xml:space="preserve">                                                      Student Academic Performance Dashboard </t>
    </r>
    <r>
      <rPr>
        <sz val="20"/>
        <color theme="1"/>
        <rFont val="Calibri"/>
        <family val="2"/>
        <scheme val="minor"/>
      </rPr>
      <t xml:space="preserve">      </t>
    </r>
    <r>
      <rPr>
        <sz val="11"/>
        <color theme="1"/>
        <rFont val="Calibri"/>
        <family val="2"/>
        <scheme val="minor"/>
      </rPr>
      <t xml:space="preserve">                                                                                             </t>
    </r>
  </si>
  <si>
    <t xml:space="preserve"> </t>
  </si>
  <si>
    <t xml:space="preserve">                                                                                                   Prepared by Deeqo Abdulkadir</t>
  </si>
  <si>
    <t>preapred by dekha abdulkhadir</t>
  </si>
  <si>
    <t>Student Attendance and Academic Analysis</t>
  </si>
  <si>
    <t>Unknow</t>
  </si>
  <si>
    <t>blanks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</si>
</sst>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sz val="22"/>
      <color theme="0"/>
      <name val="Calibri"/>
      <family val="2"/>
      <scheme val="minor"/>
    </font>
    <font>
      <b/>
      <sz val="11"/>
      <color rgb="FF1F4E78"/>
      <name val="Calibri"/>
      <family val="2"/>
    </font>
    <font>
      <b/>
      <sz val="11"/>
      <color theme="0"/>
      <name val="Calibri"/>
      <family val="2"/>
    </font>
    <font>
      <b/>
      <sz val="11"/>
      <color rgb="FFFFFFFF"/>
      <name val="Calibri"/>
      <family val="2"/>
    </font>
    <font>
      <b/>
      <sz val="20"/>
      <color rgb="FFFFFFFF"/>
      <name val="Calibri"/>
      <family val="2"/>
    </font>
    <font>
      <b/>
      <sz val="13"/>
      <color rgb="FFFFFFFF"/>
      <name val="Calibri"/>
      <family val="2"/>
    </font>
    <font>
      <b/>
      <sz val="11"/>
      <name val="Calibri"/>
      <family val="2"/>
    </font>
    <font>
      <b/>
      <sz val="12"/>
      <color rgb="FFFFFFFF"/>
      <name val="Calibri"/>
      <family val="2"/>
    </font>
    <font>
      <sz val="11"/>
      <color rgb="FF000000"/>
      <name val="Calibri"/>
      <family val="2"/>
      <scheme val="minor"/>
    </font>
    <font>
      <b/>
      <sz val="11"/>
      <name val="Carlito"/>
    </font>
    <font>
      <b/>
      <sz val="11"/>
      <color theme="1"/>
      <name val="Calibri"/>
      <family val="2"/>
      <scheme val="minor"/>
    </font>
    <font>
      <b/>
      <sz val="18"/>
      <color theme="1"/>
      <name val="Calibri"/>
      <family val="2"/>
      <scheme val="minor"/>
    </font>
    <font>
      <sz val="20"/>
      <color theme="1"/>
      <name val="Calibri"/>
      <family val="2"/>
      <scheme val="minor"/>
    </font>
    <font>
      <sz val="20"/>
      <name val="Calibri"/>
      <family val="2"/>
      <scheme val="minor"/>
    </font>
    <font>
      <sz val="11"/>
      <color rgb="FF002060"/>
      <name val="Calibri"/>
      <family val="2"/>
      <scheme val="minor"/>
    </font>
    <font>
      <sz val="11"/>
      <color rgb="FF9900FF"/>
      <name val="Calibri"/>
      <family val="2"/>
      <scheme val="minor"/>
    </font>
  </fonts>
  <fills count="10">
    <fill>
      <patternFill patternType="none"/>
    </fill>
    <fill>
      <patternFill patternType="gray125"/>
    </fill>
    <fill>
      <patternFill patternType="solid">
        <fgColor rgb="FF00B0F0"/>
        <bgColor indexed="64"/>
      </patternFill>
    </fill>
    <fill>
      <patternFill patternType="solid">
        <fgColor rgb="FFD9EAF7"/>
      </patternFill>
    </fill>
    <fill>
      <patternFill patternType="solid">
        <fgColor theme="0"/>
        <bgColor indexed="64"/>
      </patternFill>
    </fill>
    <fill>
      <patternFill patternType="solid">
        <fgColor rgb="FF1F4E78"/>
      </patternFill>
    </fill>
    <fill>
      <patternFill patternType="solid">
        <fgColor rgb="FF5B9BD5"/>
      </patternFill>
    </fill>
    <fill>
      <patternFill patternType="solid">
        <fgColor theme="4" tint="0.79998168889431442"/>
        <bgColor theme="4" tint="0.79998168889431442"/>
      </patternFill>
    </fill>
    <fill>
      <patternFill patternType="solid">
        <fgColor rgb="FF0070C0"/>
        <bgColor indexed="64"/>
      </patternFill>
    </fill>
    <fill>
      <patternFill patternType="solid">
        <fgColor rgb="FF7D40EC"/>
        <bgColor indexed="64"/>
      </patternFill>
    </fill>
  </fills>
  <borders count="7">
    <border>
      <left/>
      <right/>
      <top/>
      <bottom/>
      <diagonal/>
    </border>
    <border>
      <left style="thin">
        <color rgb="FFD9E1F2"/>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thin">
        <color rgb="FFD9E1F2"/>
      </bottom>
      <diagonal/>
    </border>
  </borders>
  <cellStyleXfs count="1">
    <xf numFmtId="0" fontId="0" fillId="0" borderId="0"/>
  </cellStyleXfs>
  <cellXfs count="34">
    <xf numFmtId="0" fontId="0" fillId="0" borderId="0" xfId="0"/>
    <xf numFmtId="0" fontId="2" fillId="3" borderId="1" xfId="0" applyFont="1" applyFill="1" applyBorder="1"/>
    <xf numFmtId="0" fontId="0" fillId="0" borderId="1" xfId="0" applyBorder="1"/>
    <xf numFmtId="0" fontId="3" fillId="4" borderId="1" xfId="0" applyFont="1" applyFill="1" applyBorder="1"/>
    <xf numFmtId="0" fontId="2" fillId="3" borderId="2" xfId="0" applyFont="1" applyFill="1" applyBorder="1"/>
    <xf numFmtId="0" fontId="0" fillId="0" borderId="2" xfId="0" applyBorder="1"/>
    <xf numFmtId="0" fontId="4" fillId="5" borderId="1" xfId="0" applyFont="1" applyFill="1" applyBorder="1" applyAlignment="1">
      <alignment horizontal="center" vertical="center"/>
    </xf>
    <xf numFmtId="1" fontId="0" fillId="0" borderId="1" xfId="0" applyNumberFormat="1" applyBorder="1"/>
    <xf numFmtId="2" fontId="0" fillId="0" borderId="1" xfId="0" applyNumberFormat="1" applyBorder="1"/>
    <xf numFmtId="0" fontId="7" fillId="3" borderId="1" xfId="0" applyFont="1" applyFill="1" applyBorder="1"/>
    <xf numFmtId="0" fontId="8" fillId="5" borderId="1" xfId="0" applyFont="1" applyFill="1" applyBorder="1" applyAlignment="1">
      <alignment horizontal="center" vertical="center"/>
    </xf>
    <xf numFmtId="0" fontId="0" fillId="0" borderId="0" xfId="0" pivotButton="1"/>
    <xf numFmtId="0" fontId="0" fillId="0" borderId="0" xfId="0" applyAlignment="1">
      <alignment horizontal="left"/>
    </xf>
    <xf numFmtId="0" fontId="9" fillId="0" borderId="0" xfId="0" applyFont="1" applyAlignment="1">
      <alignment horizontal="center" vertical="center"/>
    </xf>
    <xf numFmtId="0" fontId="10" fillId="3" borderId="0" xfId="0" applyFont="1" applyFill="1" applyAlignment="1">
      <alignment horizontal="center" vertical="center"/>
    </xf>
    <xf numFmtId="164" fontId="0" fillId="0" borderId="0" xfId="0" applyNumberFormat="1"/>
    <xf numFmtId="0" fontId="12"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0" fillId="7" borderId="1" xfId="0" applyFill="1" applyBorder="1"/>
    <xf numFmtId="0" fontId="0" fillId="9" borderId="0" xfId="0" applyFill="1"/>
    <xf numFmtId="0" fontId="15" fillId="0" borderId="0" xfId="0" applyFont="1"/>
    <xf numFmtId="0" fontId="16" fillId="0" borderId="0" xfId="0" applyFont="1" applyAlignment="1">
      <alignment horizontal="center" vertical="center"/>
    </xf>
    <xf numFmtId="0" fontId="5" fillId="5" borderId="0" xfId="0" applyFont="1" applyFill="1" applyAlignment="1">
      <alignment horizontal="center" vertical="center"/>
    </xf>
    <xf numFmtId="0" fontId="6" fillId="6" borderId="0" xfId="0" applyFont="1" applyFill="1"/>
    <xf numFmtId="0" fontId="0" fillId="0" borderId="0" xfId="0"/>
    <xf numFmtId="0" fontId="8" fillId="8" borderId="3"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0" fillId="8" borderId="6" xfId="0" applyFill="1" applyBorder="1" applyAlignment="1">
      <alignment horizontal="left"/>
    </xf>
    <xf numFmtId="0" fontId="0" fillId="9" borderId="0" xfId="0" applyFill="1" applyAlignment="1">
      <alignment horizontal="left" wrapText="1"/>
    </xf>
    <xf numFmtId="0" fontId="0" fillId="9" borderId="0" xfId="0" applyFill="1" applyAlignment="1">
      <alignment horizontal="left"/>
    </xf>
    <xf numFmtId="0" fontId="1" fillId="2" borderId="0" xfId="0" applyFont="1" applyFill="1" applyAlignment="1">
      <alignment horizontal="center"/>
    </xf>
    <xf numFmtId="0" fontId="0" fillId="0" borderId="0" xfId="0" applyFont="1"/>
  </cellXfs>
  <cellStyles count="1">
    <cellStyle name="Normal" xfId="0" builtinId="0"/>
  </cellStyles>
  <dxfs count="1">
    <dxf>
      <font>
        <b/>
        <strike val="0"/>
        <outline val="0"/>
        <shadow val="0"/>
        <u val="none"/>
        <vertAlign val="baseline"/>
        <sz val="12"/>
        <color rgb="FFFFFFFF"/>
        <name val="Calibri"/>
        <family val="2"/>
        <scheme val="none"/>
      </font>
    </dxf>
  </dxfs>
  <tableStyles count="0" defaultTableStyle="TableStyleMedium2" defaultPivotStyle="PivotStyleLight16"/>
  <colors>
    <mruColors>
      <color rgb="FF7D40EC"/>
      <color rgb="FF9900FF"/>
      <color rgb="FF652F91"/>
      <color rgb="FF338D5E"/>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PivotTables!$A$4:$A$15</c:f>
              <c:strCache>
                <c:ptCount val="11"/>
                <c:pt idx="0">
                  <c:v>-</c:v>
                </c:pt>
                <c:pt idx="1">
                  <c:v>Business Administration</c:v>
                </c:pt>
                <c:pt idx="2">
                  <c:v>Computer Science</c:v>
                </c:pt>
                <c:pt idx="3">
                  <c:v>CS</c:v>
                </c:pt>
                <c:pt idx="4">
                  <c:v>Data Science</c:v>
                </c:pt>
                <c:pt idx="5">
                  <c:v>Economics</c:v>
                </c:pt>
                <c:pt idx="6">
                  <c:v>Engineering</c:v>
                </c:pt>
                <c:pt idx="7">
                  <c:v>PH</c:v>
                </c:pt>
                <c:pt idx="8">
                  <c:v>Public Health</c:v>
                </c:pt>
                <c:pt idx="9">
                  <c:v>Unknown</c:v>
                </c:pt>
                <c:pt idx="10">
                  <c:v>(blank)</c:v>
                </c:pt>
              </c:strCache>
            </c:strRef>
          </c:cat>
          <c:val>
            <c:numRef>
              <c:f>PivotTables!$B$4:$B$15</c:f>
              <c:numCache>
                <c:formatCode>General</c:formatCode>
                <c:ptCount val="11"/>
                <c:pt idx="0">
                  <c:v>1</c:v>
                </c:pt>
                <c:pt idx="1">
                  <c:v>59</c:v>
                </c:pt>
                <c:pt idx="2">
                  <c:v>57</c:v>
                </c:pt>
                <c:pt idx="3">
                  <c:v>1</c:v>
                </c:pt>
                <c:pt idx="4">
                  <c:v>58</c:v>
                </c:pt>
                <c:pt idx="5">
                  <c:v>25</c:v>
                </c:pt>
                <c:pt idx="6">
                  <c:v>37</c:v>
                </c:pt>
                <c:pt idx="7">
                  <c:v>1</c:v>
                </c:pt>
                <c:pt idx="8">
                  <c:v>41</c:v>
                </c:pt>
                <c:pt idx="9">
                  <c:v>17</c:v>
                </c:pt>
              </c:numCache>
            </c:numRef>
          </c:val>
          <c:extLst>
            <c:ext xmlns:c16="http://schemas.microsoft.com/office/drawing/2014/chart" uri="{C3380CC4-5D6E-409C-BE32-E72D297353CC}">
              <c16:uniqueId val="{00000000-133E-4D2A-9BD6-BFFE41A1BA60}"/>
            </c:ext>
          </c:extLst>
        </c:ser>
        <c:dLbls>
          <c:dLblPos val="outEnd"/>
          <c:showLegendKey val="0"/>
          <c:showVal val="1"/>
          <c:showCatName val="0"/>
          <c:showSerName val="0"/>
          <c:showPercent val="0"/>
          <c:showBubbleSize val="0"/>
        </c:dLbls>
        <c:gapWidth val="219"/>
        <c:overlap val="-27"/>
        <c:axId val="444546384"/>
        <c:axId val="534447504"/>
      </c:barChart>
      <c:catAx>
        <c:axId val="44454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447504"/>
        <c:crosses val="autoZero"/>
        <c:auto val="1"/>
        <c:lblAlgn val="ctr"/>
        <c:lblOffset val="100"/>
        <c:noMultiLvlLbl val="0"/>
      </c:catAx>
      <c:valAx>
        <c:axId val="53444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4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7.3403046841367045E-2"/>
          <c:y val="0.27911424568861409"/>
          <c:w val="0.47929619908622534"/>
          <c:h val="0.66689802425003619"/>
        </c:manualLayout>
      </c:layout>
      <c:pieChart>
        <c:varyColors val="1"/>
        <c:ser>
          <c:idx val="0"/>
          <c:order val="0"/>
          <c:tx>
            <c:strRef>
              <c:f>PivotTables!$B$17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43-4645-BBD1-A31B7BB202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43-4645-BBD1-A31B7BB202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43-4645-BBD1-A31B7BB202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43-4645-BBD1-A31B7BB202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43-4645-BBD1-A31B7BB202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PivotTables!$A$18:$A$23</c:f>
              <c:strCache>
                <c:ptCount val="5"/>
                <c:pt idx="0">
                  <c:v>-</c:v>
                </c:pt>
                <c:pt idx="1">
                  <c:v>AR</c:v>
                </c:pt>
                <c:pt idx="2">
                  <c:v>At Risk</c:v>
                </c:pt>
                <c:pt idx="3">
                  <c:v>Good Standing</c:v>
                </c:pt>
                <c:pt idx="4">
                  <c:v>Unknown</c:v>
                </c:pt>
              </c:strCache>
            </c:strRef>
          </c:cat>
          <c:val>
            <c:numRef>
              <c:f>PivotTables!$B$18:$B$23</c:f>
              <c:numCache>
                <c:formatCode>General</c:formatCode>
                <c:ptCount val="5"/>
                <c:pt idx="0">
                  <c:v>1</c:v>
                </c:pt>
                <c:pt idx="1">
                  <c:v>1</c:v>
                </c:pt>
                <c:pt idx="2">
                  <c:v>74</c:v>
                </c:pt>
                <c:pt idx="3">
                  <c:v>205</c:v>
                </c:pt>
                <c:pt idx="4">
                  <c:v>16</c:v>
                </c:pt>
              </c:numCache>
            </c:numRef>
          </c:val>
          <c:extLst>
            <c:ext xmlns:c16="http://schemas.microsoft.com/office/drawing/2014/chart" uri="{C3380CC4-5D6E-409C-BE32-E72D297353CC}">
              <c16:uniqueId val="{00000000-3F64-4350-A898-E14542E9F1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3-4B4F-9443-9C6796ADD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3-4B4F-9443-9C6796ADD6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3-4B4F-9443-9C6796ADD6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93-4B4F-9443-9C6796ADD6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93-4B4F-9443-9C6796ADD6F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93-4B4F-9443-9C6796ADD6F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93-4B4F-9443-9C6796ADD6F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93-4B4F-9443-9C6796ADD6F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F93-4B4F-9443-9C6796ADD6F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F93-4B4F-9443-9C6796ADD6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PivotTables!$A$26:$A$36</c:f>
              <c:strCache>
                <c:ptCount val="10"/>
                <c:pt idx="0">
                  <c:v>-</c:v>
                </c:pt>
                <c:pt idx="1">
                  <c:v>Business Administration</c:v>
                </c:pt>
                <c:pt idx="2">
                  <c:v>Computer Science</c:v>
                </c:pt>
                <c:pt idx="3">
                  <c:v>CS</c:v>
                </c:pt>
                <c:pt idx="4">
                  <c:v>Data Science</c:v>
                </c:pt>
                <c:pt idx="5">
                  <c:v>Economics</c:v>
                </c:pt>
                <c:pt idx="6">
                  <c:v>Engineering</c:v>
                </c:pt>
                <c:pt idx="7">
                  <c:v>PH</c:v>
                </c:pt>
                <c:pt idx="8">
                  <c:v>Public Health</c:v>
                </c:pt>
                <c:pt idx="9">
                  <c:v>Unknown</c:v>
                </c:pt>
              </c:strCache>
            </c:strRef>
          </c:cat>
          <c:val>
            <c:numRef>
              <c:f>PivotTables!$B$26:$B$36</c:f>
              <c:numCache>
                <c:formatCode>General</c:formatCode>
                <c:ptCount val="10"/>
                <c:pt idx="0">
                  <c:v>58.7</c:v>
                </c:pt>
                <c:pt idx="1">
                  <c:v>4691.9000000000005</c:v>
                </c:pt>
                <c:pt idx="2">
                  <c:v>4403</c:v>
                </c:pt>
                <c:pt idx="3">
                  <c:v>78.3</c:v>
                </c:pt>
                <c:pt idx="4">
                  <c:v>4759.4999999999991</c:v>
                </c:pt>
                <c:pt idx="5">
                  <c:v>1862.6</c:v>
                </c:pt>
                <c:pt idx="6">
                  <c:v>3009.9</c:v>
                </c:pt>
                <c:pt idx="7">
                  <c:v>59.4</c:v>
                </c:pt>
                <c:pt idx="8">
                  <c:v>3149.0999999999995</c:v>
                </c:pt>
                <c:pt idx="9">
                  <c:v>1492.9</c:v>
                </c:pt>
              </c:numCache>
            </c:numRef>
          </c:val>
          <c:extLst>
            <c:ext xmlns:c16="http://schemas.microsoft.com/office/drawing/2014/chart" uri="{C3380CC4-5D6E-409C-BE32-E72D297353CC}">
              <c16:uniqueId val="{00000000-93DF-4665-8AC6-80143A1CA2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[Book1211.xlsx]PivotTables!PivotTable4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PivotTables!$B$41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PivotTables!$A$42:$A$53</c:f>
              <c:strCache>
                <c:ptCount val="11"/>
                <c:pt idx="0">
                  <c:v>-</c:v>
                </c:pt>
                <c:pt idx="1">
                  <c:v>Business Administration</c:v>
                </c:pt>
                <c:pt idx="2">
                  <c:v>Computer Science</c:v>
                </c:pt>
                <c:pt idx="3">
                  <c:v>CS</c:v>
                </c:pt>
                <c:pt idx="4">
                  <c:v>Data Science</c:v>
                </c:pt>
                <c:pt idx="5">
                  <c:v>Economics</c:v>
                </c:pt>
                <c:pt idx="6">
                  <c:v>Engineering</c:v>
                </c:pt>
                <c:pt idx="7">
                  <c:v>PH</c:v>
                </c:pt>
                <c:pt idx="8">
                  <c:v>Public Health</c:v>
                </c:pt>
                <c:pt idx="9">
                  <c:v>Unknown</c:v>
                </c:pt>
                <c:pt idx="10">
                  <c:v>(blank)</c:v>
                </c:pt>
              </c:strCache>
            </c:strRef>
          </c:cat>
          <c:val>
            <c:numRef>
              <c:f>PivotTables!$B$42:$B$53</c:f>
              <c:numCache>
                <c:formatCode>General</c:formatCode>
                <c:ptCount val="11"/>
                <c:pt idx="0">
                  <c:v>67.2</c:v>
                </c:pt>
                <c:pt idx="1">
                  <c:v>3861.599999999999</c:v>
                </c:pt>
                <c:pt idx="2">
                  <c:v>3889.6999999999994</c:v>
                </c:pt>
                <c:pt idx="3">
                  <c:v>49</c:v>
                </c:pt>
                <c:pt idx="4">
                  <c:v>3940.4999999999995</c:v>
                </c:pt>
                <c:pt idx="5">
                  <c:v>1626.8000000000004</c:v>
                </c:pt>
                <c:pt idx="6">
                  <c:v>2556.5999999999995</c:v>
                </c:pt>
                <c:pt idx="7">
                  <c:v>79.7</c:v>
                </c:pt>
                <c:pt idx="8">
                  <c:v>2795.7000000000007</c:v>
                </c:pt>
                <c:pt idx="9">
                  <c:v>1166.6999999999998</c:v>
                </c:pt>
              </c:numCache>
            </c:numRef>
          </c:val>
          <c:extLst>
            <c:ext xmlns:c16="http://schemas.microsoft.com/office/drawing/2014/chart" uri="{C3380CC4-5D6E-409C-BE32-E72D297353CC}">
              <c16:uniqueId val="{00000000-0A72-49FF-B957-C5139D0C1262}"/>
            </c:ext>
          </c:extLst>
        </c:ser>
        <c:dLbls>
          <c:showLegendKey val="0"/>
          <c:showVal val="1"/>
          <c:showCatName val="0"/>
          <c:showSerName val="0"/>
          <c:showPercent val="0"/>
          <c:showBubbleSize val="0"/>
        </c:dLbls>
        <c:gapWidth val="150"/>
        <c:shape val="box"/>
        <c:axId val="1077909407"/>
        <c:axId val="1075308559"/>
        <c:axId val="0"/>
      </c:bar3DChart>
      <c:catAx>
        <c:axId val="1077909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08559"/>
        <c:crosses val="autoZero"/>
        <c:auto val="1"/>
        <c:lblAlgn val="ctr"/>
        <c:lblOffset val="100"/>
        <c:noMultiLvlLbl val="0"/>
      </c:catAx>
      <c:valAx>
        <c:axId val="107530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9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9900FF"/>
                </a:solidFill>
              </a:rPr>
              <a:t>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Dashboard!$C$13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Dashboard!$B$14:$B$24</c:f>
              <c:strCache>
                <c:ptCount val="10"/>
                <c:pt idx="0">
                  <c:v>-</c:v>
                </c:pt>
                <c:pt idx="1">
                  <c:v>Business Administration</c:v>
                </c:pt>
                <c:pt idx="2">
                  <c:v>Computer Science</c:v>
                </c:pt>
                <c:pt idx="3">
                  <c:v>CS</c:v>
                </c:pt>
                <c:pt idx="4">
                  <c:v>Data Science</c:v>
                </c:pt>
                <c:pt idx="5">
                  <c:v>Economics</c:v>
                </c:pt>
                <c:pt idx="6">
                  <c:v>Engineering</c:v>
                </c:pt>
                <c:pt idx="7">
                  <c:v>PH</c:v>
                </c:pt>
                <c:pt idx="8">
                  <c:v>Public Health</c:v>
                </c:pt>
                <c:pt idx="9">
                  <c:v>Unknown</c:v>
                </c:pt>
              </c:strCache>
            </c:strRef>
          </c:cat>
          <c:val>
            <c:numRef>
              <c:f>Dashboard!$C$14:$C$24</c:f>
              <c:numCache>
                <c:formatCode>General</c:formatCode>
                <c:ptCount val="10"/>
                <c:pt idx="0">
                  <c:v>1</c:v>
                </c:pt>
                <c:pt idx="1">
                  <c:v>59</c:v>
                </c:pt>
                <c:pt idx="2">
                  <c:v>57</c:v>
                </c:pt>
                <c:pt idx="3">
                  <c:v>1</c:v>
                </c:pt>
                <c:pt idx="4">
                  <c:v>58</c:v>
                </c:pt>
                <c:pt idx="5">
                  <c:v>25</c:v>
                </c:pt>
                <c:pt idx="6">
                  <c:v>37</c:v>
                </c:pt>
                <c:pt idx="7">
                  <c:v>1</c:v>
                </c:pt>
                <c:pt idx="8">
                  <c:v>41</c:v>
                </c:pt>
                <c:pt idx="9">
                  <c:v>17</c:v>
                </c:pt>
              </c:numCache>
            </c:numRef>
          </c:val>
          <c:extLst>
            <c:ext xmlns:c16="http://schemas.microsoft.com/office/drawing/2014/chart" uri="{C3380CC4-5D6E-409C-BE32-E72D297353CC}">
              <c16:uniqueId val="{00000000-4984-478E-8B47-6E56AF6AC076}"/>
            </c:ext>
          </c:extLst>
        </c:ser>
        <c:dLbls>
          <c:dLblPos val="outEnd"/>
          <c:showLegendKey val="0"/>
          <c:showVal val="1"/>
          <c:showCatName val="0"/>
          <c:showSerName val="0"/>
          <c:showPercent val="0"/>
          <c:showBubbleSize val="0"/>
        </c:dLbls>
        <c:gapWidth val="182"/>
        <c:axId val="621317936"/>
        <c:axId val="587898928"/>
      </c:barChart>
      <c:catAx>
        <c:axId val="62131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98928"/>
        <c:crosses val="autoZero"/>
        <c:auto val="1"/>
        <c:lblAlgn val="ctr"/>
        <c:lblOffset val="100"/>
        <c:noMultiLvlLbl val="0"/>
      </c:catAx>
      <c:valAx>
        <c:axId val="58789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D40EC"/>
                </a:solidFill>
              </a:rPr>
              <a:t>Academic_status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Dashboard!$G$10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3-4995-8A0C-EDC127E4A0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13-4995-8A0C-EDC127E4A0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13-4995-8A0C-EDC127E4A0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13-4995-8A0C-EDC127E4A0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13-4995-8A0C-EDC127E4A0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Dashboard!$F$11:$F$15</c:f>
              <c:strCache>
                <c:ptCount val="4"/>
                <c:pt idx="0">
                  <c:v>AR</c:v>
                </c:pt>
                <c:pt idx="1">
                  <c:v>At Risk</c:v>
                </c:pt>
                <c:pt idx="2">
                  <c:v>Good Standing</c:v>
                </c:pt>
                <c:pt idx="3">
                  <c:v>Unknown</c:v>
                </c:pt>
              </c:strCache>
            </c:strRef>
          </c:cat>
          <c:val>
            <c:numRef>
              <c:f>Dashboard!$G$11:$G$15</c:f>
              <c:numCache>
                <c:formatCode>General</c:formatCode>
                <c:ptCount val="4"/>
                <c:pt idx="0">
                  <c:v>1</c:v>
                </c:pt>
                <c:pt idx="1">
                  <c:v>16</c:v>
                </c:pt>
                <c:pt idx="2">
                  <c:v>39</c:v>
                </c:pt>
                <c:pt idx="3">
                  <c:v>3</c:v>
                </c:pt>
              </c:numCache>
            </c:numRef>
          </c:val>
          <c:extLst>
            <c:ext xmlns:c16="http://schemas.microsoft.com/office/drawing/2014/chart" uri="{C3380CC4-5D6E-409C-BE32-E72D297353CC}">
              <c16:uniqueId val="{00000000-23FD-490B-B610-E8DC72DBA4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[Book1211.xlsx]Dashboard!PivotTable3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Dashboard!$B$30:$B$35</c:f>
              <c:strCache>
                <c:ptCount val="5"/>
                <c:pt idx="0">
                  <c:v>-</c:v>
                </c:pt>
                <c:pt idx="1">
                  <c:v>AR</c:v>
                </c:pt>
                <c:pt idx="2">
                  <c:v>At Risk</c:v>
                </c:pt>
                <c:pt idx="3">
                  <c:v>Good Standing</c:v>
                </c:pt>
                <c:pt idx="4">
                  <c:v>Unknown</c:v>
                </c:pt>
              </c:strCache>
            </c:strRef>
          </c:cat>
          <c:val>
            <c:numRef>
              <c:f>Dashboard!$C$30:$C$35</c:f>
              <c:numCache>
                <c:formatCode>General</c:formatCode>
                <c:ptCount val="5"/>
                <c:pt idx="0">
                  <c:v>1</c:v>
                </c:pt>
                <c:pt idx="1">
                  <c:v>1</c:v>
                </c:pt>
                <c:pt idx="2">
                  <c:v>74</c:v>
                </c:pt>
                <c:pt idx="3">
                  <c:v>205</c:v>
                </c:pt>
                <c:pt idx="4">
                  <c:v>16</c:v>
                </c:pt>
              </c:numCache>
            </c:numRef>
          </c:val>
          <c:extLst>
            <c:ext xmlns:c16="http://schemas.microsoft.com/office/drawing/2014/chart" uri="{C3380CC4-5D6E-409C-BE32-E72D297353CC}">
              <c16:uniqueId val="{00000000-1056-4F8C-97A1-6A7C2BDBA486}"/>
            </c:ext>
          </c:extLst>
        </c:ser>
        <c:dLbls>
          <c:dLblPos val="outEnd"/>
          <c:showLegendKey val="0"/>
          <c:showVal val="1"/>
          <c:showCatName val="0"/>
          <c:showSerName val="0"/>
          <c:showPercent val="0"/>
          <c:showBubbleSize val="0"/>
        </c:dLbls>
        <c:gapWidth val="219"/>
        <c:overlap val="-27"/>
        <c:axId val="1130403887"/>
        <c:axId val="898325007"/>
      </c:barChart>
      <c:catAx>
        <c:axId val="113040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25007"/>
        <c:crosses val="autoZero"/>
        <c:auto val="1"/>
        <c:lblAlgn val="ctr"/>
        <c:lblOffset val="100"/>
        <c:noMultiLvlLbl val="0"/>
      </c:catAx>
      <c:valAx>
        <c:axId val="8983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0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D40EC"/>
                </a:solidFill>
              </a:rPr>
              <a:t>Programs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Sheet1!$B$14:$B$24</c:f>
              <c:strCache>
                <c:ptCount val="10"/>
                <c:pt idx="0">
                  <c:v>-</c:v>
                </c:pt>
                <c:pt idx="1">
                  <c:v>Business Administration</c:v>
                </c:pt>
                <c:pt idx="2">
                  <c:v>Computer Science</c:v>
                </c:pt>
                <c:pt idx="3">
                  <c:v>CS</c:v>
                </c:pt>
                <c:pt idx="4">
                  <c:v>Data Science</c:v>
                </c:pt>
                <c:pt idx="5">
                  <c:v>Economics</c:v>
                </c:pt>
                <c:pt idx="6">
                  <c:v>Engineering</c:v>
                </c:pt>
                <c:pt idx="7">
                  <c:v>PH</c:v>
                </c:pt>
                <c:pt idx="8">
                  <c:v>Public Health</c:v>
                </c:pt>
                <c:pt idx="9">
                  <c:v>Unknown</c:v>
                </c:pt>
              </c:strCache>
            </c:strRef>
          </c:cat>
          <c:val>
            <c:numRef>
              <c:f>Sheet1!$C$14:$C$24</c:f>
              <c:numCache>
                <c:formatCode>General</c:formatCode>
                <c:ptCount val="10"/>
                <c:pt idx="0">
                  <c:v>1</c:v>
                </c:pt>
                <c:pt idx="1">
                  <c:v>59</c:v>
                </c:pt>
                <c:pt idx="2">
                  <c:v>57</c:v>
                </c:pt>
                <c:pt idx="3">
                  <c:v>1</c:v>
                </c:pt>
                <c:pt idx="4">
                  <c:v>58</c:v>
                </c:pt>
                <c:pt idx="5">
                  <c:v>25</c:v>
                </c:pt>
                <c:pt idx="6">
                  <c:v>37</c:v>
                </c:pt>
                <c:pt idx="7">
                  <c:v>1</c:v>
                </c:pt>
                <c:pt idx="8">
                  <c:v>41</c:v>
                </c:pt>
                <c:pt idx="9">
                  <c:v>17</c:v>
                </c:pt>
              </c:numCache>
            </c:numRef>
          </c:val>
          <c:extLst>
            <c:ext xmlns:c16="http://schemas.microsoft.com/office/drawing/2014/chart" uri="{C3380CC4-5D6E-409C-BE32-E72D297353CC}">
              <c16:uniqueId val="{00000000-7278-47FA-B754-A3F5572D2B58}"/>
            </c:ext>
          </c:extLst>
        </c:ser>
        <c:dLbls>
          <c:dLblPos val="outEnd"/>
          <c:showLegendKey val="0"/>
          <c:showVal val="1"/>
          <c:showCatName val="0"/>
          <c:showSerName val="0"/>
          <c:showPercent val="0"/>
          <c:showBubbleSize val="0"/>
        </c:dLbls>
        <c:gapWidth val="219"/>
        <c:overlap val="-27"/>
        <c:axId val="1102451120"/>
        <c:axId val="1142290032"/>
      </c:barChart>
      <c:catAx>
        <c:axId val="110245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90032"/>
        <c:crosses val="autoZero"/>
        <c:auto val="1"/>
        <c:lblAlgn val="ctr"/>
        <c:lblOffset val="100"/>
        <c:noMultiLvlLbl val="0"/>
      </c:catAx>
      <c:valAx>
        <c:axId val="114229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5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D40EC"/>
                </a:solidFill>
              </a:rPr>
              <a:t>Academic_status</a:t>
            </a:r>
          </a:p>
        </c:rich>
      </c:tx>
      <c:layout>
        <c:manualLayout>
          <c:xMode val="edge"/>
          <c:yMode val="edge"/>
          <c:x val="0.32881182478574189"/>
          <c:y val="0.140411573943145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A-462E-A219-453BCEADA1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A-462E-A219-453BCEADA1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A-462E-A219-453BCEADA1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A-462E-A219-453BCEADA1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A-462E-A219-453BCEADA1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Sheet1!$G$14:$G$19</c:f>
              <c:strCache>
                <c:ptCount val="5"/>
                <c:pt idx="0">
                  <c:v>-</c:v>
                </c:pt>
                <c:pt idx="1">
                  <c:v>AR</c:v>
                </c:pt>
                <c:pt idx="2">
                  <c:v>At Risk</c:v>
                </c:pt>
                <c:pt idx="3">
                  <c:v>Good Standing</c:v>
                </c:pt>
                <c:pt idx="4">
                  <c:v>Unknown</c:v>
                </c:pt>
              </c:strCache>
            </c:strRef>
          </c:cat>
          <c:val>
            <c:numRef>
              <c:f>Sheet1!$H$14:$H$19</c:f>
              <c:numCache>
                <c:formatCode>General</c:formatCode>
                <c:ptCount val="5"/>
                <c:pt idx="0">
                  <c:v>1</c:v>
                </c:pt>
                <c:pt idx="1">
                  <c:v>1</c:v>
                </c:pt>
                <c:pt idx="2">
                  <c:v>74</c:v>
                </c:pt>
                <c:pt idx="3">
                  <c:v>205</c:v>
                </c:pt>
                <c:pt idx="4">
                  <c:v>16</c:v>
                </c:pt>
              </c:numCache>
            </c:numRef>
          </c:val>
          <c:extLst>
            <c:ext xmlns:c16="http://schemas.microsoft.com/office/drawing/2014/chart" uri="{C3380CC4-5D6E-409C-BE32-E72D297353CC}">
              <c16:uniqueId val="{00000000-C4CB-4698-8EAE-D7AE254CDC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[Book1211.xlsx]Sheet1!PivotTable3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Sheet1!$J$14:$J$24</c:f>
              <c:strCache>
                <c:ptCount val="10"/>
                <c:pt idx="0">
                  <c:v>-</c:v>
                </c:pt>
                <c:pt idx="1">
                  <c:v>Business Administration</c:v>
                </c:pt>
                <c:pt idx="2">
                  <c:v>Computer Science</c:v>
                </c:pt>
                <c:pt idx="3">
                  <c:v>CS</c:v>
                </c:pt>
                <c:pt idx="4">
                  <c:v>Data Science</c:v>
                </c:pt>
                <c:pt idx="5">
                  <c:v>Economics</c:v>
                </c:pt>
                <c:pt idx="6">
                  <c:v>Engineering</c:v>
                </c:pt>
                <c:pt idx="7">
                  <c:v>PH</c:v>
                </c:pt>
                <c:pt idx="8">
                  <c:v>Public Health</c:v>
                </c:pt>
                <c:pt idx="9">
                  <c:v>Unknown</c:v>
                </c:pt>
              </c:strCache>
            </c:strRef>
          </c:cat>
          <c:val>
            <c:numRef>
              <c:f>Sheet1!$K$14:$K$24</c:f>
              <c:numCache>
                <c:formatCode>General</c:formatCode>
                <c:ptCount val="10"/>
                <c:pt idx="0">
                  <c:v>58.7</c:v>
                </c:pt>
                <c:pt idx="1">
                  <c:v>4691.9000000000005</c:v>
                </c:pt>
                <c:pt idx="2">
                  <c:v>4403</c:v>
                </c:pt>
                <c:pt idx="3">
                  <c:v>78.3</c:v>
                </c:pt>
                <c:pt idx="4">
                  <c:v>4759.4999999999991</c:v>
                </c:pt>
                <c:pt idx="5">
                  <c:v>1862.6</c:v>
                </c:pt>
                <c:pt idx="6">
                  <c:v>3009.9</c:v>
                </c:pt>
                <c:pt idx="7">
                  <c:v>59.4</c:v>
                </c:pt>
                <c:pt idx="8">
                  <c:v>3149.0999999999995</c:v>
                </c:pt>
                <c:pt idx="9">
                  <c:v>1492.9</c:v>
                </c:pt>
              </c:numCache>
            </c:numRef>
          </c:val>
          <c:extLst>
            <c:ext xmlns:c16="http://schemas.microsoft.com/office/drawing/2014/chart" uri="{C3380CC4-5D6E-409C-BE32-E72D297353CC}">
              <c16:uniqueId val="{00000000-5E1E-4B28-975C-6E4B1B4E69D3}"/>
            </c:ext>
          </c:extLst>
        </c:ser>
        <c:dLbls>
          <c:showLegendKey val="0"/>
          <c:showVal val="1"/>
          <c:showCatName val="0"/>
          <c:showSerName val="0"/>
          <c:showPercent val="0"/>
          <c:showBubbleSize val="0"/>
        </c:dLbls>
        <c:gapWidth val="150"/>
        <c:shape val="box"/>
        <c:axId val="1266591568"/>
        <c:axId val="1142275152"/>
        <c:axId val="0"/>
      </c:bar3DChart>
      <c:catAx>
        <c:axId val="126659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75152"/>
        <c:crosses val="autoZero"/>
        <c:auto val="1"/>
        <c:lblAlgn val="ctr"/>
        <c:lblOffset val="100"/>
        <c:noMultiLvlLbl val="0"/>
      </c:catAx>
      <c:valAx>
        <c:axId val="114227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114300</xdr:colOff>
      <xdr:row>0</xdr:row>
      <xdr:rowOff>123825</xdr:rowOff>
    </xdr:from>
    <xdr:to>
      <xdr:col>6</xdr:col>
      <xdr:colOff>787400</xdr:colOff>
      <xdr:row>14</xdr:row>
      <xdr:rowOff>12700</xdr:rowOff>
    </xdr:to>
    <xdr:graphicFrame macro="">
      <xdr:nvGraphicFramePr>
        <xdr:cNvPr id="2" name="Chart 1">
          <a:extLst>
            <a:ext uri="{FF2B5EF4-FFF2-40B4-BE49-F238E27FC236}">
              <a16:creationId xmlns:a16="http://schemas.microsoft.com/office/drawing/2014/main" id="{A6647039-8A87-4355-372D-479C8DA42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819150</xdr:colOff>
      <xdr:row>0</xdr:row>
      <xdr:rowOff>25400</xdr:rowOff>
    </xdr:from>
    <xdr:to>
      <xdr:col>10</xdr:col>
      <xdr:colOff>514350</xdr:colOff>
      <xdr:row>13</xdr:row>
      <xdr:rowOff>155575</xdr:rowOff>
    </xdr:to>
    <mc:AlternateContent xmlns:mc="http://schemas.openxmlformats.org/markup-compatibility/2006" xmlns:a14="http://schemas.microsoft.com/office/drawing/2010/main">
      <mc:Choice Requires="a14">
        <xdr:graphicFrame macro="">
          <xdr:nvGraphicFramePr>
            <xdr:cNvPr id="3" name="Program">
              <a:extLst>
                <a:ext uri="{FF2B5EF4-FFF2-40B4-BE49-F238E27FC236}">
                  <a16:creationId xmlns:a16="http://schemas.microsoft.com/office/drawing/2014/main" id="{9B00B275-0309-71E7-23E8-E8DBFBA17547}"/>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10407650" y="2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146050</xdr:colOff>
      <xdr:row>14</xdr:row>
      <xdr:rowOff>22225</xdr:rowOff>
    </xdr:from>
    <xdr:to>
      <xdr:col>6</xdr:col>
      <xdr:colOff>863600</xdr:colOff>
      <xdr:row>28</xdr:row>
      <xdr:rowOff>31750</xdr:rowOff>
    </xdr:to>
    <xdr:graphicFrame macro="">
      <xdr:nvGraphicFramePr>
        <xdr:cNvPr id="5" name="Chart 4">
          <a:extLst>
            <a:ext uri="{FF2B5EF4-FFF2-40B4-BE49-F238E27FC236}">
              <a16:creationId xmlns:a16="http://schemas.microsoft.com/office/drawing/2014/main" id="{A4910A07-69A5-916A-859C-33B0D747E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939800</xdr:colOff>
      <xdr:row>0</xdr:row>
      <xdr:rowOff>50800</xdr:rowOff>
    </xdr:from>
    <xdr:to>
      <xdr:col>8</xdr:col>
      <xdr:colOff>635000</xdr:colOff>
      <xdr:row>13</xdr:row>
      <xdr:rowOff>180975</xdr:rowOff>
    </xdr:to>
    <mc:AlternateContent xmlns:mc="http://schemas.openxmlformats.org/markup-compatibility/2006" xmlns:a14="http://schemas.microsoft.com/office/drawing/2010/main">
      <mc:Choice Requires="a14">
        <xdr:graphicFrame macro="">
          <xdr:nvGraphicFramePr>
            <xdr:cNvPr id="6" name="Academic_Status">
              <a:extLst>
                <a:ext uri="{FF2B5EF4-FFF2-40B4-BE49-F238E27FC236}">
                  <a16:creationId xmlns:a16="http://schemas.microsoft.com/office/drawing/2014/main" id="{7B403B63-432F-7416-EB5F-1C91943C221B}"/>
                </a:ext>
              </a:extLst>
            </xdr:cNvPr>
            <xdr:cNvGraphicFramePr/>
          </xdr:nvGraphicFramePr>
          <xdr:xfrm>
            <a:off x="0" y="0"/>
            <a:ext cx="0" cy="0"/>
          </xdr:xfrm>
          <a:graphic>
            <a:graphicData uri="http://schemas.microsoft.com/office/drawing/2010/slicer">
              <sle:slicer xmlns:sle="http://schemas.microsoft.com/office/drawing/2010/slicer" name="Academic_Status"/>
            </a:graphicData>
          </a:graphic>
        </xdr:graphicFrame>
      </mc:Choice>
      <mc:Fallback xmlns="">
        <xdr:sp macro="" textlink="">
          <xdr:nvSpPr>
            <xdr:cNvPr id="0" name=""/>
            <xdr:cNvSpPr>
              <a:spLocks noTextEdit="1"/>
            </xdr:cNvSpPr>
          </xdr:nvSpPr>
          <xdr:spPr>
            <a:xfrm>
              <a:off x="8394700" y="50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866775</xdr:colOff>
      <xdr:row>14</xdr:row>
      <xdr:rowOff>60325</xdr:rowOff>
    </xdr:from>
    <xdr:to>
      <xdr:col>11</xdr:col>
      <xdr:colOff>104775</xdr:colOff>
      <xdr:row>29</xdr:row>
      <xdr:rowOff>41275</xdr:rowOff>
    </xdr:to>
    <xdr:graphicFrame macro="">
      <xdr:nvGraphicFramePr>
        <xdr:cNvPr id="7" name="Chart 6">
          <a:extLst>
            <a:ext uri="{FF2B5EF4-FFF2-40B4-BE49-F238E27FC236}">
              <a16:creationId xmlns:a16="http://schemas.microsoft.com/office/drawing/2014/main" id="{7D55BF0C-A3BF-B4C8-BDB8-B2BA96913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28</xdr:row>
      <xdr:rowOff>136525</xdr:rowOff>
    </xdr:from>
    <xdr:to>
      <xdr:col>6</xdr:col>
      <xdr:colOff>825500</xdr:colOff>
      <xdr:row>43</xdr:row>
      <xdr:rowOff>117475</xdr:rowOff>
    </xdr:to>
    <xdr:graphicFrame macro="">
      <xdr:nvGraphicFramePr>
        <xdr:cNvPr id="4" name="Chart 3">
          <a:extLst>
            <a:ext uri="{FF2B5EF4-FFF2-40B4-BE49-F238E27FC236}">
              <a16:creationId xmlns:a16="http://schemas.microsoft.com/office/drawing/2014/main" id="{7E85E50E-7AAB-94AD-F7BF-84AF491CF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19050</xdr:colOff>
      <xdr:row>29</xdr:row>
      <xdr:rowOff>38100</xdr:rowOff>
    </xdr:from>
    <xdr:to>
      <xdr:col>8</xdr:col>
      <xdr:colOff>781050</xdr:colOff>
      <xdr:row>42</xdr:row>
      <xdr:rowOff>168275</xdr:rowOff>
    </xdr:to>
    <mc:AlternateContent xmlns:mc="http://schemas.openxmlformats.org/markup-compatibility/2006" xmlns:a14="http://schemas.microsoft.com/office/drawing/2010/main">
      <mc:Choice Requires="a14">
        <xdr:graphicFrame macro="">
          <xdr:nvGraphicFramePr>
            <xdr:cNvPr id="8" name="Midterm_Score">
              <a:extLst>
                <a:ext uri="{FF2B5EF4-FFF2-40B4-BE49-F238E27FC236}">
                  <a16:creationId xmlns:a16="http://schemas.microsoft.com/office/drawing/2014/main" id="{21B2A2B9-1561-66DB-918D-B5DE85C060C7}"/>
                </a:ext>
              </a:extLst>
            </xdr:cNvPr>
            <xdr:cNvGraphicFramePr/>
          </xdr:nvGraphicFramePr>
          <xdr:xfrm>
            <a:off x="0" y="0"/>
            <a:ext cx="0" cy="0"/>
          </xdr:xfrm>
          <a:graphic>
            <a:graphicData uri="http://schemas.microsoft.com/office/drawing/2010/slicer">
              <sle:slicer xmlns:sle="http://schemas.microsoft.com/office/drawing/2010/slicer" name="Midterm_Score"/>
            </a:graphicData>
          </a:graphic>
        </xdr:graphicFrame>
      </mc:Choice>
      <mc:Fallback xmlns="">
        <xdr:sp macro="" textlink="">
          <xdr:nvSpPr>
            <xdr:cNvPr id="0" name=""/>
            <xdr:cNvSpPr>
              <a:spLocks noTextEdit="1"/>
            </xdr:cNvSpPr>
          </xdr:nvSpPr>
          <xdr:spPr>
            <a:xfrm>
              <a:off x="8235950" y="5378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762000</xdr:colOff>
      <xdr:row>4</xdr:row>
      <xdr:rowOff>95250</xdr:rowOff>
    </xdr:from>
    <xdr:to>
      <xdr:col>2</xdr:col>
      <xdr:colOff>939800</xdr:colOff>
      <xdr:row>7</xdr:row>
      <xdr:rowOff>146050</xdr:rowOff>
    </xdr:to>
    <xdr:sp macro="" textlink="">
      <xdr:nvSpPr>
        <xdr:cNvPr id="2" name="Rectangle 1">
          <a:extLst>
            <a:ext uri="{FF2B5EF4-FFF2-40B4-BE49-F238E27FC236}">
              <a16:creationId xmlns:a16="http://schemas.microsoft.com/office/drawing/2014/main" id="{0AF98E47-7A4C-26D4-CB13-9CB21E7F6E4F}"/>
            </a:ext>
          </a:extLst>
        </xdr:cNvPr>
        <xdr:cNvSpPr/>
      </xdr:nvSpPr>
      <xdr:spPr>
        <a:xfrm>
          <a:off x="1371600" y="831850"/>
          <a:ext cx="1651000" cy="6032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solidFill>
                <a:schemeClr val="tx1"/>
              </a:solidFill>
            </a:rPr>
            <a:t>Total Students</a:t>
          </a:r>
        </a:p>
        <a:p>
          <a:pPr algn="ctr"/>
          <a:r>
            <a:rPr lang="en-US" sz="1100">
              <a:solidFill>
                <a:srgbClr val="7030A0"/>
              </a:solidFill>
            </a:rPr>
            <a:t>297</a:t>
          </a:r>
        </a:p>
        <a:p>
          <a:pPr algn="ctr"/>
          <a:endParaRPr lang="en-US" sz="1100">
            <a:solidFill>
              <a:schemeClr val="tx1"/>
            </a:solidFill>
          </a:endParaRPr>
        </a:p>
        <a:p>
          <a:pPr algn="ctr"/>
          <a:endParaRPr lang="en-US" sz="1100">
            <a:solidFill>
              <a:schemeClr val="tx1"/>
            </a:solidFill>
          </a:endParaRPr>
        </a:p>
        <a:p>
          <a:pPr algn="ctr"/>
          <a:endParaRPr lang="en-US" sz="1100">
            <a:solidFill>
              <a:schemeClr val="tx1"/>
            </a:solidFill>
          </a:endParaRPr>
        </a:p>
      </xdr:txBody>
    </xdr:sp>
    <xdr:clientData/>
  </xdr:twoCellAnchor>
  <xdr:twoCellAnchor>
    <xdr:from>
      <xdr:col>4</xdr:col>
      <xdr:colOff>374650</xdr:colOff>
      <xdr:row>4</xdr:row>
      <xdr:rowOff>146050</xdr:rowOff>
    </xdr:from>
    <xdr:to>
      <xdr:col>6</xdr:col>
      <xdr:colOff>622300</xdr:colOff>
      <xdr:row>7</xdr:row>
      <xdr:rowOff>139700</xdr:rowOff>
    </xdr:to>
    <xdr:sp macro="" textlink="">
      <xdr:nvSpPr>
        <xdr:cNvPr id="3" name="Rectangle 2">
          <a:extLst>
            <a:ext uri="{FF2B5EF4-FFF2-40B4-BE49-F238E27FC236}">
              <a16:creationId xmlns:a16="http://schemas.microsoft.com/office/drawing/2014/main" id="{ED90F758-DB0F-F4D4-8235-BE29AED32E60}"/>
            </a:ext>
          </a:extLst>
        </xdr:cNvPr>
        <xdr:cNvSpPr/>
      </xdr:nvSpPr>
      <xdr:spPr>
        <a:xfrm>
          <a:off x="4337050" y="882650"/>
          <a:ext cx="1771650" cy="5461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Avarge</a:t>
          </a:r>
          <a:r>
            <a:rPr lang="en-US" sz="1100" baseline="0">
              <a:solidFill>
                <a:schemeClr val="tx1"/>
              </a:solidFill>
            </a:rPr>
            <a:t> final score</a:t>
          </a:r>
        </a:p>
        <a:p>
          <a:pPr algn="ctr"/>
          <a:r>
            <a:rPr lang="en-US" sz="1100" baseline="0">
              <a:solidFill>
                <a:srgbClr val="9900FF"/>
              </a:solidFill>
            </a:rPr>
            <a:t>71.54388</a:t>
          </a:r>
          <a:endParaRPr lang="en-US" sz="1100">
            <a:solidFill>
              <a:srgbClr val="9900FF"/>
            </a:solidFill>
          </a:endParaRPr>
        </a:p>
      </xdr:txBody>
    </xdr:sp>
    <xdr:clientData/>
  </xdr:twoCellAnchor>
  <xdr:twoCellAnchor>
    <xdr:from>
      <xdr:col>7</xdr:col>
      <xdr:colOff>298450</xdr:colOff>
      <xdr:row>4</xdr:row>
      <xdr:rowOff>101600</xdr:rowOff>
    </xdr:from>
    <xdr:to>
      <xdr:col>9</xdr:col>
      <xdr:colOff>596900</xdr:colOff>
      <xdr:row>7</xdr:row>
      <xdr:rowOff>133350</xdr:rowOff>
    </xdr:to>
    <xdr:sp macro="" textlink="">
      <xdr:nvSpPr>
        <xdr:cNvPr id="5" name="Rectangle 4">
          <a:extLst>
            <a:ext uri="{FF2B5EF4-FFF2-40B4-BE49-F238E27FC236}">
              <a16:creationId xmlns:a16="http://schemas.microsoft.com/office/drawing/2014/main" id="{678CDF41-9AF1-FFFC-95E4-14A2E9F61533}"/>
            </a:ext>
          </a:extLst>
        </xdr:cNvPr>
        <xdr:cNvSpPr/>
      </xdr:nvSpPr>
      <xdr:spPr>
        <a:xfrm>
          <a:off x="7467600" y="838200"/>
          <a:ext cx="1517650" cy="5842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Avarage</a:t>
          </a:r>
          <a:r>
            <a:rPr lang="en-US" sz="1100" baseline="0">
              <a:solidFill>
                <a:schemeClr val="tx1"/>
              </a:solidFill>
            </a:rPr>
            <a:t> Attandance</a:t>
          </a:r>
        </a:p>
        <a:p>
          <a:pPr algn="ctr"/>
          <a:r>
            <a:rPr lang="en-US" sz="1100" baseline="0">
              <a:solidFill>
                <a:srgbClr val="9900FF"/>
              </a:solidFill>
            </a:rPr>
            <a:t>79.34444</a:t>
          </a:r>
          <a:endParaRPr lang="en-US" sz="1100">
            <a:solidFill>
              <a:srgbClr val="9900FF"/>
            </a:solidFill>
          </a:endParaRPr>
        </a:p>
      </xdr:txBody>
    </xdr:sp>
    <xdr:clientData/>
  </xdr:twoCellAnchor>
  <xdr:twoCellAnchor>
    <xdr:from>
      <xdr:col>11</xdr:col>
      <xdr:colOff>520700</xdr:colOff>
      <xdr:row>4</xdr:row>
      <xdr:rowOff>165100</xdr:rowOff>
    </xdr:from>
    <xdr:to>
      <xdr:col>14</xdr:col>
      <xdr:colOff>349250</xdr:colOff>
      <xdr:row>7</xdr:row>
      <xdr:rowOff>127000</xdr:rowOff>
    </xdr:to>
    <xdr:sp macro="" textlink="">
      <xdr:nvSpPr>
        <xdr:cNvPr id="6" name="Rectangle 5">
          <a:extLst>
            <a:ext uri="{FF2B5EF4-FFF2-40B4-BE49-F238E27FC236}">
              <a16:creationId xmlns:a16="http://schemas.microsoft.com/office/drawing/2014/main" id="{5F8A05B0-FF58-4354-888F-D76995B55FD7}"/>
            </a:ext>
          </a:extLst>
        </xdr:cNvPr>
        <xdr:cNvSpPr/>
      </xdr:nvSpPr>
      <xdr:spPr>
        <a:xfrm>
          <a:off x="10128250" y="901700"/>
          <a:ext cx="1657350" cy="5143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Good</a:t>
          </a:r>
          <a:r>
            <a:rPr lang="en-US" sz="1100" baseline="0">
              <a:solidFill>
                <a:schemeClr val="tx1"/>
              </a:solidFill>
            </a:rPr>
            <a:t> Stranding</a:t>
          </a:r>
        </a:p>
        <a:p>
          <a:pPr algn="ctr"/>
          <a:r>
            <a:rPr lang="en-US" sz="1100" baseline="0">
              <a:solidFill>
                <a:srgbClr val="9900FF"/>
              </a:solidFill>
            </a:rPr>
            <a:t>73.92176</a:t>
          </a:r>
          <a:endParaRPr lang="en-US" sz="1100">
            <a:solidFill>
              <a:srgbClr val="9900FF"/>
            </a:solidFill>
          </a:endParaRPr>
        </a:p>
      </xdr:txBody>
    </xdr:sp>
    <xdr:clientData/>
  </xdr:twoCellAnchor>
  <xdr:twoCellAnchor>
    <xdr:from>
      <xdr:col>1</xdr:col>
      <xdr:colOff>1422400</xdr:colOff>
      <xdr:row>8</xdr:row>
      <xdr:rowOff>76200</xdr:rowOff>
    </xdr:from>
    <xdr:to>
      <xdr:col>6</xdr:col>
      <xdr:colOff>501650</xdr:colOff>
      <xdr:row>24</xdr:row>
      <xdr:rowOff>130175</xdr:rowOff>
    </xdr:to>
    <xdr:graphicFrame macro="">
      <xdr:nvGraphicFramePr>
        <xdr:cNvPr id="7" name="Chart 6">
          <a:extLst>
            <a:ext uri="{FF2B5EF4-FFF2-40B4-BE49-F238E27FC236}">
              <a16:creationId xmlns:a16="http://schemas.microsoft.com/office/drawing/2014/main" id="{B0DBDC00-1375-D9B3-D657-8BD8BDDDE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546100</xdr:colOff>
      <xdr:row>7</xdr:row>
      <xdr:rowOff>177800</xdr:rowOff>
    </xdr:from>
    <xdr:to>
      <xdr:col>17</xdr:col>
      <xdr:colOff>546100</xdr:colOff>
      <xdr:row>23</xdr:row>
      <xdr:rowOff>139700</xdr:rowOff>
    </xdr:to>
    <mc:AlternateContent xmlns:mc="http://schemas.openxmlformats.org/markup-compatibility/2006" xmlns:a14="http://schemas.microsoft.com/office/drawing/2010/main">
      <mc:Choice Requires="a14">
        <xdr:graphicFrame macro="">
          <xdr:nvGraphicFramePr>
            <xdr:cNvPr id="8" name="Academic_Status 1">
              <a:extLst>
                <a:ext uri="{FF2B5EF4-FFF2-40B4-BE49-F238E27FC236}">
                  <a16:creationId xmlns:a16="http://schemas.microsoft.com/office/drawing/2014/main" id="{DBBC83C2-0FB6-096E-65AE-12DD61AAF089}"/>
                </a:ext>
              </a:extLst>
            </xdr:cNvPr>
            <xdr:cNvGraphicFramePr/>
          </xdr:nvGraphicFramePr>
          <xdr:xfrm>
            <a:off x="0" y="0"/>
            <a:ext cx="0" cy="0"/>
          </xdr:xfrm>
          <a:graphic>
            <a:graphicData uri="http://schemas.microsoft.com/office/drawing/2010/slicer">
              <sle:slicer xmlns:sle="http://schemas.microsoft.com/office/drawing/2010/slicer" name="Academic_Status 1"/>
            </a:graphicData>
          </a:graphic>
        </xdr:graphicFrame>
      </mc:Choice>
      <mc:Fallback xmlns="">
        <xdr:sp macro="" textlink="">
          <xdr:nvSpPr>
            <xdr:cNvPr id="0" name=""/>
            <xdr:cNvSpPr>
              <a:spLocks noTextEdit="1"/>
            </xdr:cNvSpPr>
          </xdr:nvSpPr>
          <xdr:spPr>
            <a:xfrm>
              <a:off x="11423650" y="1428750"/>
              <a:ext cx="1828800" cy="290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8</xdr:row>
      <xdr:rowOff>69850</xdr:rowOff>
    </xdr:from>
    <xdr:to>
      <xdr:col>11</xdr:col>
      <xdr:colOff>361950</xdr:colOff>
      <xdr:row>24</xdr:row>
      <xdr:rowOff>88900</xdr:rowOff>
    </xdr:to>
    <xdr:graphicFrame macro="">
      <xdr:nvGraphicFramePr>
        <xdr:cNvPr id="9" name="Chart 8">
          <a:extLst>
            <a:ext uri="{FF2B5EF4-FFF2-40B4-BE49-F238E27FC236}">
              <a16:creationId xmlns:a16="http://schemas.microsoft.com/office/drawing/2014/main" id="{D0602ACF-C09F-9642-40C5-1D5DB8768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482600</xdr:colOff>
      <xdr:row>8</xdr:row>
      <xdr:rowOff>63500</xdr:rowOff>
    </xdr:from>
    <xdr:to>
      <xdr:col>14</xdr:col>
      <xdr:colOff>482600</xdr:colOff>
      <xdr:row>24</xdr:row>
      <xdr:rowOff>12700</xdr:rowOff>
    </xdr:to>
    <mc:AlternateContent xmlns:mc="http://schemas.openxmlformats.org/markup-compatibility/2006" xmlns:a14="http://schemas.microsoft.com/office/drawing/2010/main">
      <mc:Choice Requires="a14">
        <xdr:graphicFrame macro="">
          <xdr:nvGraphicFramePr>
            <xdr:cNvPr id="12" name="Academic_Status 2">
              <a:extLst>
                <a:ext uri="{FF2B5EF4-FFF2-40B4-BE49-F238E27FC236}">
                  <a16:creationId xmlns:a16="http://schemas.microsoft.com/office/drawing/2014/main" id="{2D99CA38-7052-C9C3-112D-84F1BBAE1C17}"/>
                </a:ext>
              </a:extLst>
            </xdr:cNvPr>
            <xdr:cNvGraphicFramePr/>
          </xdr:nvGraphicFramePr>
          <xdr:xfrm>
            <a:off x="0" y="0"/>
            <a:ext cx="0" cy="0"/>
          </xdr:xfrm>
          <a:graphic>
            <a:graphicData uri="http://schemas.microsoft.com/office/drawing/2010/slicer">
              <sle:slicer xmlns:sle="http://schemas.microsoft.com/office/drawing/2010/slicer" name="Academic_Status 2"/>
            </a:graphicData>
          </a:graphic>
        </xdr:graphicFrame>
      </mc:Choice>
      <mc:Fallback xmlns="">
        <xdr:sp macro="" textlink="">
          <xdr:nvSpPr>
            <xdr:cNvPr id="0" name=""/>
            <xdr:cNvSpPr>
              <a:spLocks noTextEdit="1"/>
            </xdr:cNvSpPr>
          </xdr:nvSpPr>
          <xdr:spPr>
            <a:xfrm>
              <a:off x="9531350" y="1498600"/>
              <a:ext cx="1828800" cy="289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514350</xdr:colOff>
      <xdr:row>8</xdr:row>
      <xdr:rowOff>76200</xdr:rowOff>
    </xdr:from>
    <xdr:to>
      <xdr:col>1</xdr:col>
      <xdr:colOff>1460500</xdr:colOff>
      <xdr:row>25</xdr:row>
      <xdr:rowOff>88900</xdr:rowOff>
    </xdr:to>
    <mc:AlternateContent xmlns:mc="http://schemas.openxmlformats.org/markup-compatibility/2006" xmlns:a14="http://schemas.microsoft.com/office/drawing/2010/main">
      <mc:Choice Requires="a14">
        <xdr:graphicFrame macro="">
          <xdr:nvGraphicFramePr>
            <xdr:cNvPr id="13" name="Program 1">
              <a:extLst>
                <a:ext uri="{FF2B5EF4-FFF2-40B4-BE49-F238E27FC236}">
                  <a16:creationId xmlns:a16="http://schemas.microsoft.com/office/drawing/2014/main" id="{FAE10EDD-6544-5139-BD06-DB8BD5A5B65C}"/>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514350" y="1511300"/>
              <a:ext cx="1555750" cy="314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301625</xdr:colOff>
      <xdr:row>26</xdr:row>
      <xdr:rowOff>9525</xdr:rowOff>
    </xdr:from>
    <xdr:to>
      <xdr:col>8</xdr:col>
      <xdr:colOff>447675</xdr:colOff>
      <xdr:row>40</xdr:row>
      <xdr:rowOff>174625</xdr:rowOff>
    </xdr:to>
    <xdr:graphicFrame macro="">
      <xdr:nvGraphicFramePr>
        <xdr:cNvPr id="4" name="Chart 3">
          <a:extLst>
            <a:ext uri="{FF2B5EF4-FFF2-40B4-BE49-F238E27FC236}">
              <a16:creationId xmlns:a16="http://schemas.microsoft.com/office/drawing/2014/main" id="{30350DC8-5ED7-CDA0-2025-29E3D2A43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31750</xdr:colOff>
      <xdr:row>26</xdr:row>
      <xdr:rowOff>50800</xdr:rowOff>
    </xdr:from>
    <xdr:to>
      <xdr:col>12</xdr:col>
      <xdr:colOff>31750</xdr:colOff>
      <xdr:row>39</xdr:row>
      <xdr:rowOff>180975</xdr:rowOff>
    </xdr:to>
    <mc:AlternateContent xmlns:mc="http://schemas.openxmlformats.org/markup-compatibility/2006" xmlns:a14="http://schemas.microsoft.com/office/drawing/2010/main">
      <mc:Choice Requires="a14">
        <xdr:graphicFrame macro="">
          <xdr:nvGraphicFramePr>
            <xdr:cNvPr id="10" name="Attendance_Percent">
              <a:extLst>
                <a:ext uri="{FF2B5EF4-FFF2-40B4-BE49-F238E27FC236}">
                  <a16:creationId xmlns:a16="http://schemas.microsoft.com/office/drawing/2014/main" id="{7C38DA32-4A6A-236A-F3B7-90A76E26DB6C}"/>
                </a:ext>
              </a:extLst>
            </xdr:cNvPr>
            <xdr:cNvGraphicFramePr/>
          </xdr:nvGraphicFramePr>
          <xdr:xfrm>
            <a:off x="0" y="0"/>
            <a:ext cx="0" cy="0"/>
          </xdr:xfrm>
          <a:graphic>
            <a:graphicData uri="http://schemas.microsoft.com/office/drawing/2010/slicer">
              <sle:slicer xmlns:sle="http://schemas.microsoft.com/office/drawing/2010/slicer" name="Attendance_Percent"/>
            </a:graphicData>
          </a:graphic>
        </xdr:graphicFrame>
      </mc:Choice>
      <mc:Fallback xmlns="">
        <xdr:sp macro="" textlink="">
          <xdr:nvSpPr>
            <xdr:cNvPr id="0" name=""/>
            <xdr:cNvSpPr>
              <a:spLocks noTextEdit="1"/>
            </xdr:cNvSpPr>
          </xdr:nvSpPr>
          <xdr:spPr>
            <a:xfrm>
              <a:off x="7861300" y="4800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172555</xdr:colOff>
      <xdr:row>0</xdr:row>
      <xdr:rowOff>122858</xdr:rowOff>
    </xdr:from>
    <xdr:to>
      <xdr:col>13</xdr:col>
      <xdr:colOff>276088</xdr:colOff>
      <xdr:row>5</xdr:row>
      <xdr:rowOff>40701</xdr:rowOff>
    </xdr:to>
    <xdr:sp macro="" textlink="">
      <xdr:nvSpPr>
        <xdr:cNvPr id="2" name="Rectangle: Rounded Corners 1">
          <a:extLst>
            <a:ext uri="{FF2B5EF4-FFF2-40B4-BE49-F238E27FC236}">
              <a16:creationId xmlns:a16="http://schemas.microsoft.com/office/drawing/2014/main" id="{4A7EA4F7-A649-6EC7-BFB3-1CAEAA3FDDB5}"/>
            </a:ext>
          </a:extLst>
        </xdr:cNvPr>
        <xdr:cNvSpPr/>
      </xdr:nvSpPr>
      <xdr:spPr>
        <a:xfrm>
          <a:off x="172555" y="122858"/>
          <a:ext cx="12458424" cy="8496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1"/>
              </a:solidFill>
            </a:rPr>
            <a:t>                                                                            </a:t>
          </a:r>
          <a:r>
            <a:rPr lang="en-US" sz="3200" baseline="0">
              <a:solidFill>
                <a:schemeClr val="accent1"/>
              </a:solidFill>
            </a:rPr>
            <a:t>students Academic Performance dashbord</a:t>
          </a:r>
          <a:endParaRPr lang="en-US" sz="3200">
            <a:solidFill>
              <a:schemeClr val="accent1"/>
            </a:solidFill>
          </a:endParaRPr>
        </a:p>
      </xdr:txBody>
    </xdr:sp>
    <xdr:clientData/>
  </xdr:twoCellAnchor>
  <xdr:twoCellAnchor editAs="oneCell">
    <xdr:from>
      <xdr:col>0</xdr:col>
      <xdr:colOff>468520</xdr:colOff>
      <xdr:row>0</xdr:row>
      <xdr:rowOff>62120</xdr:rowOff>
    </xdr:from>
    <xdr:to>
      <xdr:col>1</xdr:col>
      <xdr:colOff>773320</xdr:colOff>
      <xdr:row>5</xdr:row>
      <xdr:rowOff>53562</xdr:rowOff>
    </xdr:to>
    <xdr:pic>
      <xdr:nvPicPr>
        <xdr:cNvPr id="4" name="Graphic 3" descr="Bar chart with solid fill">
          <a:extLst>
            <a:ext uri="{FF2B5EF4-FFF2-40B4-BE49-F238E27FC236}">
              <a16:creationId xmlns:a16="http://schemas.microsoft.com/office/drawing/2014/main" id="{986CD00F-0725-E9EF-5452-D8FCFE6A0F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8520" y="62120"/>
          <a:ext cx="912191" cy="923235"/>
        </a:xfrm>
        <a:prstGeom prst="rect">
          <a:avLst/>
        </a:prstGeom>
      </xdr:spPr>
    </xdr:pic>
    <xdr:clientData/>
  </xdr:twoCellAnchor>
  <xdr:twoCellAnchor>
    <xdr:from>
      <xdr:col>0</xdr:col>
      <xdr:colOff>355497</xdr:colOff>
      <xdr:row>5</xdr:row>
      <xdr:rowOff>126515</xdr:rowOff>
    </xdr:from>
    <xdr:to>
      <xdr:col>1</xdr:col>
      <xdr:colOff>1448745</xdr:colOff>
      <xdr:row>9</xdr:row>
      <xdr:rowOff>74144</xdr:rowOff>
    </xdr:to>
    <xdr:sp macro="" textlink="">
      <xdr:nvSpPr>
        <xdr:cNvPr id="5" name="Rectangle: Rounded Corners 4">
          <a:extLst>
            <a:ext uri="{FF2B5EF4-FFF2-40B4-BE49-F238E27FC236}">
              <a16:creationId xmlns:a16="http://schemas.microsoft.com/office/drawing/2014/main" id="{38B826C3-D39A-B422-36FD-EE9B9DAB21F6}"/>
            </a:ext>
          </a:extLst>
        </xdr:cNvPr>
        <xdr:cNvSpPr/>
      </xdr:nvSpPr>
      <xdr:spPr>
        <a:xfrm>
          <a:off x="355497" y="1058308"/>
          <a:ext cx="1700639" cy="6930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lumMod val="95000"/>
                  <a:lumOff val="5000"/>
                </a:schemeClr>
              </a:solidFill>
            </a:rPr>
            <a:t>   total students</a:t>
          </a:r>
        </a:p>
        <a:p>
          <a:pPr algn="l"/>
          <a:r>
            <a:rPr lang="en-US" sz="1600">
              <a:solidFill>
                <a:schemeClr val="tx1">
                  <a:lumMod val="95000"/>
                  <a:lumOff val="5000"/>
                </a:schemeClr>
              </a:solidFill>
            </a:rPr>
            <a:t>          </a:t>
          </a:r>
          <a:r>
            <a:rPr lang="en-US" sz="1600">
              <a:solidFill>
                <a:srgbClr val="7D40EC"/>
              </a:solidFill>
            </a:rPr>
            <a:t>297</a:t>
          </a:r>
        </a:p>
      </xdr:txBody>
    </xdr:sp>
    <xdr:clientData/>
  </xdr:twoCellAnchor>
  <xdr:twoCellAnchor>
    <xdr:from>
      <xdr:col>2</xdr:col>
      <xdr:colOff>486851</xdr:colOff>
      <xdr:row>5</xdr:row>
      <xdr:rowOff>134840</xdr:rowOff>
    </xdr:from>
    <xdr:to>
      <xdr:col>4</xdr:col>
      <xdr:colOff>473759</xdr:colOff>
      <xdr:row>9</xdr:row>
      <xdr:rowOff>82826</xdr:rowOff>
    </xdr:to>
    <xdr:sp macro="" textlink="">
      <xdr:nvSpPr>
        <xdr:cNvPr id="6" name="Rectangle: Rounded Corners 5">
          <a:extLst>
            <a:ext uri="{FF2B5EF4-FFF2-40B4-BE49-F238E27FC236}">
              <a16:creationId xmlns:a16="http://schemas.microsoft.com/office/drawing/2014/main" id="{B79DCE55-925E-4803-ABE5-0D5B52169E2E}"/>
            </a:ext>
          </a:extLst>
        </xdr:cNvPr>
        <xdr:cNvSpPr/>
      </xdr:nvSpPr>
      <xdr:spPr>
        <a:xfrm>
          <a:off x="2564405" y="1066633"/>
          <a:ext cx="1864300" cy="6934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lumMod val="95000"/>
                  <a:lumOff val="5000"/>
                </a:schemeClr>
              </a:solidFill>
            </a:rPr>
            <a:t>       Avarage</a:t>
          </a:r>
          <a:r>
            <a:rPr lang="en-US" sz="1200" baseline="0">
              <a:solidFill>
                <a:schemeClr val="tx1">
                  <a:lumMod val="95000"/>
                  <a:lumOff val="5000"/>
                </a:schemeClr>
              </a:solidFill>
            </a:rPr>
            <a:t> final score</a:t>
          </a:r>
        </a:p>
        <a:p>
          <a:pPr algn="l"/>
          <a:r>
            <a:rPr lang="en-US" sz="1200" baseline="0">
              <a:solidFill>
                <a:schemeClr val="tx1">
                  <a:lumMod val="95000"/>
                  <a:lumOff val="5000"/>
                </a:schemeClr>
              </a:solidFill>
            </a:rPr>
            <a:t>             </a:t>
          </a:r>
          <a:r>
            <a:rPr lang="en-US" sz="1200" baseline="0">
              <a:solidFill>
                <a:srgbClr val="7D40EC"/>
              </a:solidFill>
            </a:rPr>
            <a:t>71.5439</a:t>
          </a:r>
          <a:endParaRPr lang="en-US" sz="1200">
            <a:solidFill>
              <a:srgbClr val="7D40EC"/>
            </a:solidFill>
          </a:endParaRPr>
        </a:p>
      </xdr:txBody>
    </xdr:sp>
    <xdr:clientData/>
  </xdr:twoCellAnchor>
  <xdr:twoCellAnchor>
    <xdr:from>
      <xdr:col>5</xdr:col>
      <xdr:colOff>306970</xdr:colOff>
      <xdr:row>5</xdr:row>
      <xdr:rowOff>141388</xdr:rowOff>
    </xdr:from>
    <xdr:to>
      <xdr:col>7</xdr:col>
      <xdr:colOff>959404</xdr:colOff>
      <xdr:row>9</xdr:row>
      <xdr:rowOff>89729</xdr:rowOff>
    </xdr:to>
    <xdr:sp macro="" textlink="">
      <xdr:nvSpPr>
        <xdr:cNvPr id="7" name="Rectangle: Rounded Corners 6">
          <a:extLst>
            <a:ext uri="{FF2B5EF4-FFF2-40B4-BE49-F238E27FC236}">
              <a16:creationId xmlns:a16="http://schemas.microsoft.com/office/drawing/2014/main" id="{AE7CF831-0C44-432C-94F1-963505FDE643}"/>
            </a:ext>
          </a:extLst>
        </xdr:cNvPr>
        <xdr:cNvSpPr/>
      </xdr:nvSpPr>
      <xdr:spPr>
        <a:xfrm>
          <a:off x="4869307" y="1073181"/>
          <a:ext cx="2170912" cy="6937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lumMod val="95000"/>
                  <a:lumOff val="5000"/>
                </a:schemeClr>
              </a:solidFill>
            </a:rPr>
            <a:t>         Avarge attandance</a:t>
          </a:r>
        </a:p>
        <a:p>
          <a:pPr algn="l"/>
          <a:r>
            <a:rPr lang="en-US" sz="1200">
              <a:solidFill>
                <a:schemeClr val="tx1">
                  <a:lumMod val="95000"/>
                  <a:lumOff val="5000"/>
                </a:schemeClr>
              </a:solidFill>
            </a:rPr>
            <a:t>              </a:t>
          </a:r>
          <a:r>
            <a:rPr lang="en-US" sz="1200">
              <a:solidFill>
                <a:srgbClr val="7D40EC"/>
              </a:solidFill>
            </a:rPr>
            <a:t>79.3444</a:t>
          </a:r>
        </a:p>
      </xdr:txBody>
    </xdr:sp>
    <xdr:clientData/>
  </xdr:twoCellAnchor>
  <xdr:twoCellAnchor>
    <xdr:from>
      <xdr:col>10</xdr:col>
      <xdr:colOff>749775</xdr:colOff>
      <xdr:row>5</xdr:row>
      <xdr:rowOff>120324</xdr:rowOff>
    </xdr:from>
    <xdr:to>
      <xdr:col>12</xdr:col>
      <xdr:colOff>423879</xdr:colOff>
      <xdr:row>9</xdr:row>
      <xdr:rowOff>94139</xdr:rowOff>
    </xdr:to>
    <xdr:sp macro="" textlink="">
      <xdr:nvSpPr>
        <xdr:cNvPr id="8" name="Rectangle: Rounded Corners 7">
          <a:extLst>
            <a:ext uri="{FF2B5EF4-FFF2-40B4-BE49-F238E27FC236}">
              <a16:creationId xmlns:a16="http://schemas.microsoft.com/office/drawing/2014/main" id="{AA0A1998-FF5E-4268-8CC9-FE2039E990DB}"/>
            </a:ext>
          </a:extLst>
        </xdr:cNvPr>
        <xdr:cNvSpPr/>
      </xdr:nvSpPr>
      <xdr:spPr>
        <a:xfrm>
          <a:off x="10178145" y="1052117"/>
          <a:ext cx="1993234" cy="719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lumMod val="95000"/>
                  <a:lumOff val="5000"/>
                </a:schemeClr>
              </a:solidFill>
            </a:rPr>
            <a:t>         At</a:t>
          </a:r>
          <a:r>
            <a:rPr lang="en-US" sz="1400" baseline="0">
              <a:solidFill>
                <a:schemeClr val="tx1">
                  <a:lumMod val="95000"/>
                  <a:lumOff val="5000"/>
                </a:schemeClr>
              </a:solidFill>
            </a:rPr>
            <a:t> Risk</a:t>
          </a:r>
        </a:p>
        <a:p>
          <a:pPr algn="l"/>
          <a:r>
            <a:rPr lang="en-US" sz="1400" baseline="0">
              <a:solidFill>
                <a:schemeClr val="tx1">
                  <a:lumMod val="95000"/>
                  <a:lumOff val="5000"/>
                </a:schemeClr>
              </a:solidFill>
            </a:rPr>
            <a:t>        </a:t>
          </a:r>
          <a:r>
            <a:rPr lang="en-US" sz="1400" baseline="0">
              <a:solidFill>
                <a:srgbClr val="7D40EC"/>
              </a:solidFill>
            </a:rPr>
            <a:t>66.37096</a:t>
          </a:r>
          <a:endParaRPr lang="en-US" sz="1400">
            <a:solidFill>
              <a:srgbClr val="7D40EC"/>
            </a:solidFill>
          </a:endParaRPr>
        </a:p>
      </xdr:txBody>
    </xdr:sp>
    <xdr:clientData/>
  </xdr:twoCellAnchor>
  <xdr:twoCellAnchor>
    <xdr:from>
      <xdr:col>8</xdr:col>
      <xdr:colOff>361263</xdr:colOff>
      <xdr:row>5</xdr:row>
      <xdr:rowOff>140321</xdr:rowOff>
    </xdr:from>
    <xdr:to>
      <xdr:col>10</xdr:col>
      <xdr:colOff>292028</xdr:colOff>
      <xdr:row>9</xdr:row>
      <xdr:rowOff>82827</xdr:rowOff>
    </xdr:to>
    <xdr:sp macro="" textlink="">
      <xdr:nvSpPr>
        <xdr:cNvPr id="9" name="Rectangle: Rounded Corners 8">
          <a:extLst>
            <a:ext uri="{FF2B5EF4-FFF2-40B4-BE49-F238E27FC236}">
              <a16:creationId xmlns:a16="http://schemas.microsoft.com/office/drawing/2014/main" id="{6C394269-1355-4E53-8B69-9EE049323E10}"/>
            </a:ext>
          </a:extLst>
        </xdr:cNvPr>
        <xdr:cNvSpPr/>
      </xdr:nvSpPr>
      <xdr:spPr>
        <a:xfrm>
          <a:off x="7712078" y="1072114"/>
          <a:ext cx="2008320" cy="6879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lumMod val="95000"/>
                  <a:lumOff val="5000"/>
                </a:schemeClr>
              </a:solidFill>
            </a:rPr>
            <a:t>      Good Standing</a:t>
          </a:r>
        </a:p>
        <a:p>
          <a:pPr algn="l"/>
          <a:r>
            <a:rPr lang="en-US" sz="1400">
              <a:solidFill>
                <a:schemeClr val="tx1">
                  <a:lumMod val="95000"/>
                  <a:lumOff val="5000"/>
                </a:schemeClr>
              </a:solidFill>
            </a:rPr>
            <a:t>            </a:t>
          </a:r>
          <a:r>
            <a:rPr lang="en-US" sz="1400">
              <a:solidFill>
                <a:srgbClr val="7D40EC"/>
              </a:solidFill>
            </a:rPr>
            <a:t>73.9218</a:t>
          </a:r>
        </a:p>
      </xdr:txBody>
    </xdr:sp>
    <xdr:clientData/>
  </xdr:twoCellAnchor>
  <xdr:twoCellAnchor>
    <xdr:from>
      <xdr:col>0</xdr:col>
      <xdr:colOff>163659</xdr:colOff>
      <xdr:row>10</xdr:row>
      <xdr:rowOff>65464</xdr:rowOff>
    </xdr:from>
    <xdr:to>
      <xdr:col>3</xdr:col>
      <xdr:colOff>602268</xdr:colOff>
      <xdr:row>23</xdr:row>
      <xdr:rowOff>163660</xdr:rowOff>
    </xdr:to>
    <xdr:graphicFrame macro="">
      <xdr:nvGraphicFramePr>
        <xdr:cNvPr id="12" name="Chart 11">
          <a:extLst>
            <a:ext uri="{FF2B5EF4-FFF2-40B4-BE49-F238E27FC236}">
              <a16:creationId xmlns:a16="http://schemas.microsoft.com/office/drawing/2014/main" id="{B3680A37-0C6A-95D1-51F3-769D3C89E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564495</xdr:colOff>
      <xdr:row>24</xdr:row>
      <xdr:rowOff>109261</xdr:rowOff>
    </xdr:from>
    <xdr:to>
      <xdr:col>4</xdr:col>
      <xdr:colOff>514481</xdr:colOff>
      <xdr:row>38</xdr:row>
      <xdr:rowOff>67200</xdr:rowOff>
    </xdr:to>
    <mc:AlternateContent xmlns:mc="http://schemas.openxmlformats.org/markup-compatibility/2006" xmlns:a14="http://schemas.microsoft.com/office/drawing/2010/main">
      <mc:Choice Requires="a14">
        <xdr:graphicFrame macro="">
          <xdr:nvGraphicFramePr>
            <xdr:cNvPr id="13" name="Program 2">
              <a:extLst>
                <a:ext uri="{FF2B5EF4-FFF2-40B4-BE49-F238E27FC236}">
                  <a16:creationId xmlns:a16="http://schemas.microsoft.com/office/drawing/2014/main" id="{7D584B1E-1FB1-2F9A-8C28-878CDDCE9E38}"/>
                </a:ext>
              </a:extLst>
            </xdr:cNvPr>
            <xdr:cNvGraphicFramePr/>
          </xdr:nvGraphicFramePr>
          <xdr:xfrm>
            <a:off x="0" y="0"/>
            <a:ext cx="0" cy="0"/>
          </xdr:xfrm>
          <a:graphic>
            <a:graphicData uri="http://schemas.microsoft.com/office/drawing/2010/slicer">
              <sle:slicer xmlns:sle="http://schemas.microsoft.com/office/drawing/2010/slicer" name="Program 2"/>
            </a:graphicData>
          </a:graphic>
        </xdr:graphicFrame>
      </mc:Choice>
      <mc:Fallback xmlns="">
        <xdr:sp macro="" textlink="">
          <xdr:nvSpPr>
            <xdr:cNvPr id="0" name=""/>
            <xdr:cNvSpPr>
              <a:spLocks noTextEdit="1"/>
            </xdr:cNvSpPr>
          </xdr:nvSpPr>
          <xdr:spPr>
            <a:xfrm>
              <a:off x="2642049" y="4581870"/>
              <a:ext cx="1827378" cy="256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31423</xdr:colOff>
      <xdr:row>10</xdr:row>
      <xdr:rowOff>65466</xdr:rowOff>
    </xdr:from>
    <xdr:to>
      <xdr:col>8</xdr:col>
      <xdr:colOff>490980</xdr:colOff>
      <xdr:row>24</xdr:row>
      <xdr:rowOff>26187</xdr:rowOff>
    </xdr:to>
    <xdr:graphicFrame macro="">
      <xdr:nvGraphicFramePr>
        <xdr:cNvPr id="14" name="Chart 13">
          <a:extLst>
            <a:ext uri="{FF2B5EF4-FFF2-40B4-BE49-F238E27FC236}">
              <a16:creationId xmlns:a16="http://schemas.microsoft.com/office/drawing/2014/main" id="{EA0FC9E3-6071-C8C4-5415-9BC6CF4B4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603119</xdr:colOff>
      <xdr:row>24</xdr:row>
      <xdr:rowOff>130601</xdr:rowOff>
    </xdr:from>
    <xdr:to>
      <xdr:col>7</xdr:col>
      <xdr:colOff>297795</xdr:colOff>
      <xdr:row>38</xdr:row>
      <xdr:rowOff>88540</xdr:rowOff>
    </xdr:to>
    <mc:AlternateContent xmlns:mc="http://schemas.openxmlformats.org/markup-compatibility/2006" xmlns:a14="http://schemas.microsoft.com/office/drawing/2010/main">
      <mc:Choice Requires="a14">
        <xdr:graphicFrame macro="">
          <xdr:nvGraphicFramePr>
            <xdr:cNvPr id="15" name="Academic_Status 3">
              <a:extLst>
                <a:ext uri="{FF2B5EF4-FFF2-40B4-BE49-F238E27FC236}">
                  <a16:creationId xmlns:a16="http://schemas.microsoft.com/office/drawing/2014/main" id="{895385B9-5123-8B2C-D126-F46BB227F518}"/>
                </a:ext>
              </a:extLst>
            </xdr:cNvPr>
            <xdr:cNvGraphicFramePr/>
          </xdr:nvGraphicFramePr>
          <xdr:xfrm>
            <a:off x="0" y="0"/>
            <a:ext cx="0" cy="0"/>
          </xdr:xfrm>
          <a:graphic>
            <a:graphicData uri="http://schemas.microsoft.com/office/drawing/2010/slicer">
              <sle:slicer xmlns:sle="http://schemas.microsoft.com/office/drawing/2010/slicer" name="Academic_Status 3"/>
            </a:graphicData>
          </a:graphic>
        </xdr:graphicFrame>
      </mc:Choice>
      <mc:Fallback xmlns="">
        <xdr:sp macro="" textlink="">
          <xdr:nvSpPr>
            <xdr:cNvPr id="0" name=""/>
            <xdr:cNvSpPr>
              <a:spLocks noTextEdit="1"/>
            </xdr:cNvSpPr>
          </xdr:nvSpPr>
          <xdr:spPr>
            <a:xfrm>
              <a:off x="4558065" y="4603210"/>
              <a:ext cx="1820545" cy="256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607504</xdr:colOff>
      <xdr:row>9</xdr:row>
      <xdr:rowOff>157112</xdr:rowOff>
    </xdr:from>
    <xdr:to>
      <xdr:col>12</xdr:col>
      <xdr:colOff>281495</xdr:colOff>
      <xdr:row>23</xdr:row>
      <xdr:rowOff>144020</xdr:rowOff>
    </xdr:to>
    <xdr:graphicFrame macro="">
      <xdr:nvGraphicFramePr>
        <xdr:cNvPr id="16" name="Chart 15">
          <a:extLst>
            <a:ext uri="{FF2B5EF4-FFF2-40B4-BE49-F238E27FC236}">
              <a16:creationId xmlns:a16="http://schemas.microsoft.com/office/drawing/2014/main" id="{2906ADB1-A354-632A-09E6-8AD3451A2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369150</xdr:colOff>
      <xdr:row>24</xdr:row>
      <xdr:rowOff>83074</xdr:rowOff>
    </xdr:from>
    <xdr:to>
      <xdr:col>9</xdr:col>
      <xdr:colOff>319136</xdr:colOff>
      <xdr:row>38</xdr:row>
      <xdr:rowOff>41013</xdr:rowOff>
    </xdr:to>
    <mc:AlternateContent xmlns:mc="http://schemas.openxmlformats.org/markup-compatibility/2006" xmlns:a14="http://schemas.microsoft.com/office/drawing/2010/main">
      <mc:Choice Requires="a14">
        <xdr:graphicFrame macro="">
          <xdr:nvGraphicFramePr>
            <xdr:cNvPr id="17" name="Program 3">
              <a:extLst>
                <a:ext uri="{FF2B5EF4-FFF2-40B4-BE49-F238E27FC236}">
                  <a16:creationId xmlns:a16="http://schemas.microsoft.com/office/drawing/2014/main" id="{01313C91-E472-2911-5ADB-33C25DFC9448}"/>
                </a:ext>
              </a:extLst>
            </xdr:cNvPr>
            <xdr:cNvGraphicFramePr/>
          </xdr:nvGraphicFramePr>
          <xdr:xfrm>
            <a:off x="0" y="0"/>
            <a:ext cx="0" cy="0"/>
          </xdr:xfrm>
          <a:graphic>
            <a:graphicData uri="http://schemas.microsoft.com/office/drawing/2010/slicer">
              <sle:slicer xmlns:sle="http://schemas.microsoft.com/office/drawing/2010/slicer" name="Program 3"/>
            </a:graphicData>
          </a:graphic>
        </xdr:graphicFrame>
      </mc:Choice>
      <mc:Fallback xmlns="">
        <xdr:sp macro="" textlink="">
          <xdr:nvSpPr>
            <xdr:cNvPr id="0" name=""/>
            <xdr:cNvSpPr>
              <a:spLocks noTextEdit="1"/>
            </xdr:cNvSpPr>
          </xdr:nvSpPr>
          <xdr:spPr>
            <a:xfrm>
              <a:off x="6449965" y="4555683"/>
              <a:ext cx="1827378" cy="256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Practical_Excel_Data_Analytics_Project.xlsx" TargetMode="External"/><Relationship Id="rId2" Type="http://schemas.openxmlformats.org/officeDocument/2006/relationships/externalLinkPath" Target="file:///C:\Users\pc\Downloads\Practical_Excel_Data_Analytics_Project.xlsx" TargetMode="External"/><Relationship Id="rId1" Type="http://schemas.openxmlformats.org/officeDocument/2006/relationships/externalLinkPath" Target="/Users/pc/Downloads/Practical_Excel_Data_Analytics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_Info"/>
      <sheetName val="Raw_Data"/>
      <sheetName val="Clean_Data"/>
      <sheetName val="Analysis"/>
      <sheetName val="PivotTables"/>
      <sheetName val="Dashboard_1"/>
      <sheetName val="Dashboard_2"/>
      <sheetName val="Findings"/>
    </sheetNames>
    <sheetDataSet>
      <sheetData sheetId="0"/>
      <sheetData sheetId="1"/>
      <sheetData sheetId="2">
        <row r="5">
          <cell r="F5"/>
        </row>
        <row r="6">
          <cell r="F6">
            <v>86.7</v>
          </cell>
        </row>
        <row r="7">
          <cell r="F7">
            <v>76.2</v>
          </cell>
        </row>
        <row r="8">
          <cell r="F8">
            <v>85.8</v>
          </cell>
        </row>
        <row r="9">
          <cell r="F9">
            <v>84.7</v>
          </cell>
        </row>
        <row r="10">
          <cell r="F10">
            <v>58</v>
          </cell>
        </row>
        <row r="11">
          <cell r="F11">
            <v>46.4</v>
          </cell>
        </row>
        <row r="12">
          <cell r="F12">
            <v>35.799999999999997</v>
          </cell>
        </row>
        <row r="13">
          <cell r="F13">
            <v>91</v>
          </cell>
        </row>
        <row r="14">
          <cell r="F14">
            <v>93.4</v>
          </cell>
        </row>
        <row r="15">
          <cell r="F15">
            <v>83.8</v>
          </cell>
        </row>
        <row r="16">
          <cell r="F16">
            <v>67</v>
          </cell>
        </row>
        <row r="17">
          <cell r="F17">
            <v>54.1</v>
          </cell>
        </row>
        <row r="18">
          <cell r="F18">
            <v>85.8</v>
          </cell>
        </row>
        <row r="19">
          <cell r="F19">
            <v>69.7</v>
          </cell>
        </row>
        <row r="20">
          <cell r="F20">
            <v>85.6</v>
          </cell>
        </row>
        <row r="21">
          <cell r="F21">
            <v>72.5</v>
          </cell>
        </row>
        <row r="22">
          <cell r="F22">
            <v>57.3</v>
          </cell>
        </row>
        <row r="23">
          <cell r="F23">
            <v>69.099999999999994</v>
          </cell>
        </row>
        <row r="24">
          <cell r="F24">
            <v>91.8</v>
          </cell>
        </row>
        <row r="25">
          <cell r="F25">
            <v>100</v>
          </cell>
        </row>
        <row r="26">
          <cell r="F26">
            <v>97.8</v>
          </cell>
        </row>
        <row r="27">
          <cell r="F27">
            <v>66.2</v>
          </cell>
        </row>
        <row r="28">
          <cell r="F28">
            <v>70.400000000000006</v>
          </cell>
        </row>
        <row r="29">
          <cell r="F29">
            <v>100</v>
          </cell>
        </row>
        <row r="30">
          <cell r="F30">
            <v>68.099999999999994</v>
          </cell>
        </row>
        <row r="31">
          <cell r="F31">
            <v>63</v>
          </cell>
        </row>
        <row r="32">
          <cell r="F32">
            <v>81</v>
          </cell>
        </row>
        <row r="33">
          <cell r="F33"/>
        </row>
        <row r="34">
          <cell r="F34">
            <v>87.7</v>
          </cell>
        </row>
        <row r="35">
          <cell r="F35">
            <v>69.400000000000006</v>
          </cell>
        </row>
        <row r="36">
          <cell r="F36"/>
        </row>
        <row r="37">
          <cell r="F37">
            <v>84.7</v>
          </cell>
        </row>
        <row r="38">
          <cell r="F38">
            <v>67.7</v>
          </cell>
        </row>
        <row r="39">
          <cell r="F39">
            <v>80.099999999999994</v>
          </cell>
        </row>
        <row r="40">
          <cell r="F40">
            <v>52.2</v>
          </cell>
        </row>
        <row r="41">
          <cell r="F41">
            <v>82.9</v>
          </cell>
        </row>
        <row r="42">
          <cell r="F42">
            <v>86.2</v>
          </cell>
        </row>
        <row r="43">
          <cell r="F43">
            <v>62.3</v>
          </cell>
        </row>
        <row r="44">
          <cell r="F44"/>
        </row>
        <row r="45">
          <cell r="F45">
            <v>78.7</v>
          </cell>
        </row>
        <row r="46">
          <cell r="F46">
            <v>78.5</v>
          </cell>
        </row>
        <row r="47">
          <cell r="F47">
            <v>57.9</v>
          </cell>
        </row>
        <row r="48">
          <cell r="F48">
            <v>78.599999999999994</v>
          </cell>
        </row>
        <row r="49">
          <cell r="F49">
            <v>68.2</v>
          </cell>
        </row>
        <row r="50">
          <cell r="F50">
            <v>66.099999999999994</v>
          </cell>
        </row>
        <row r="51">
          <cell r="F51">
            <v>58.1</v>
          </cell>
        </row>
        <row r="52">
          <cell r="F52">
            <v>56.6</v>
          </cell>
        </row>
        <row r="53">
          <cell r="F53">
            <v>72.7</v>
          </cell>
        </row>
        <row r="54">
          <cell r="F54">
            <v>66.599999999999994</v>
          </cell>
        </row>
        <row r="55">
          <cell r="F55">
            <v>38.700000000000003</v>
          </cell>
        </row>
        <row r="56">
          <cell r="F56">
            <v>47.5</v>
          </cell>
        </row>
        <row r="57">
          <cell r="F57"/>
        </row>
        <row r="58">
          <cell r="F58">
            <v>86.6</v>
          </cell>
        </row>
        <row r="59">
          <cell r="F59">
            <v>58.8</v>
          </cell>
        </row>
        <row r="60">
          <cell r="F60">
            <v>63.1</v>
          </cell>
        </row>
        <row r="61">
          <cell r="F61">
            <v>100</v>
          </cell>
        </row>
        <row r="62">
          <cell r="F62">
            <v>89.1</v>
          </cell>
        </row>
        <row r="63">
          <cell r="F63">
            <v>80.7</v>
          </cell>
        </row>
        <row r="64">
          <cell r="F64">
            <v>87.6</v>
          </cell>
        </row>
        <row r="65">
          <cell r="F65">
            <v>50.7</v>
          </cell>
        </row>
        <row r="66">
          <cell r="F66"/>
        </row>
        <row r="67">
          <cell r="F67">
            <v>40.799999999999997</v>
          </cell>
        </row>
        <row r="68">
          <cell r="F68">
            <v>36.799999999999997</v>
          </cell>
        </row>
        <row r="69">
          <cell r="F69">
            <v>75.2</v>
          </cell>
        </row>
        <row r="70">
          <cell r="F70">
            <v>85</v>
          </cell>
        </row>
        <row r="71">
          <cell r="F71">
            <v>58.2</v>
          </cell>
        </row>
        <row r="72">
          <cell r="F72">
            <v>92.9</v>
          </cell>
        </row>
        <row r="73">
          <cell r="F73">
            <v>65.599999999999994</v>
          </cell>
        </row>
        <row r="74">
          <cell r="F74">
            <v>54.6</v>
          </cell>
        </row>
        <row r="75">
          <cell r="F75">
            <v>72.3</v>
          </cell>
        </row>
        <row r="76">
          <cell r="F76">
            <v>63.1</v>
          </cell>
        </row>
        <row r="77">
          <cell r="F77">
            <v>69.400000000000006</v>
          </cell>
        </row>
        <row r="78">
          <cell r="F78"/>
        </row>
        <row r="79">
          <cell r="F79">
            <v>83.6</v>
          </cell>
        </row>
        <row r="80">
          <cell r="F80">
            <v>85.2</v>
          </cell>
        </row>
        <row r="81">
          <cell r="F81">
            <v>87.5</v>
          </cell>
        </row>
        <row r="82">
          <cell r="F82">
            <v>36.700000000000003</v>
          </cell>
        </row>
        <row r="83">
          <cell r="F83">
            <v>48.2</v>
          </cell>
        </row>
        <row r="84">
          <cell r="F84">
            <v>71.2</v>
          </cell>
        </row>
        <row r="85">
          <cell r="F85">
            <v>46.8</v>
          </cell>
        </row>
        <row r="86">
          <cell r="F86">
            <v>31.9</v>
          </cell>
        </row>
        <row r="87">
          <cell r="F87">
            <v>99</v>
          </cell>
        </row>
        <row r="88">
          <cell r="F88">
            <v>33.700000000000003</v>
          </cell>
        </row>
        <row r="89">
          <cell r="F89">
            <v>74.599999999999994</v>
          </cell>
        </row>
        <row r="90">
          <cell r="F90">
            <v>68.5</v>
          </cell>
        </row>
        <row r="91">
          <cell r="F91">
            <v>66.5</v>
          </cell>
        </row>
        <row r="92">
          <cell r="F92">
            <v>76.599999999999994</v>
          </cell>
        </row>
        <row r="93">
          <cell r="F93">
            <v>55.4</v>
          </cell>
        </row>
        <row r="94">
          <cell r="F94">
            <v>49.2</v>
          </cell>
        </row>
        <row r="95">
          <cell r="F95">
            <v>52.2</v>
          </cell>
        </row>
        <row r="96">
          <cell r="F96"/>
        </row>
        <row r="97">
          <cell r="F97">
            <v>76.5</v>
          </cell>
        </row>
        <row r="98">
          <cell r="F98">
            <v>42.3</v>
          </cell>
        </row>
        <row r="99">
          <cell r="F99">
            <v>60.2</v>
          </cell>
        </row>
        <row r="100">
          <cell r="F100">
            <v>59.5</v>
          </cell>
        </row>
        <row r="101">
          <cell r="F101">
            <v>83.4</v>
          </cell>
        </row>
        <row r="102">
          <cell r="F102">
            <v>92.1</v>
          </cell>
        </row>
        <row r="103">
          <cell r="F103">
            <v>54.9</v>
          </cell>
        </row>
        <row r="104">
          <cell r="F104">
            <v>61</v>
          </cell>
        </row>
        <row r="105">
          <cell r="F105">
            <v>62</v>
          </cell>
        </row>
        <row r="106">
          <cell r="F106">
            <v>59.1</v>
          </cell>
        </row>
        <row r="107">
          <cell r="F107">
            <v>95.3</v>
          </cell>
        </row>
        <row r="108">
          <cell r="F108">
            <v>77.2</v>
          </cell>
        </row>
        <row r="109">
          <cell r="F109">
            <v>100</v>
          </cell>
        </row>
        <row r="110">
          <cell r="F110">
            <v>86.1</v>
          </cell>
        </row>
        <row r="111">
          <cell r="F111"/>
        </row>
        <row r="112">
          <cell r="F112">
            <v>45.5</v>
          </cell>
        </row>
        <row r="113">
          <cell r="F113">
            <v>93.6</v>
          </cell>
        </row>
        <row r="114">
          <cell r="F114">
            <v>89.8</v>
          </cell>
        </row>
        <row r="115">
          <cell r="F115">
            <v>80.400000000000006</v>
          </cell>
        </row>
        <row r="116">
          <cell r="F116">
            <v>77.2</v>
          </cell>
        </row>
        <row r="117">
          <cell r="F117">
            <v>69.8</v>
          </cell>
        </row>
        <row r="118">
          <cell r="F118">
            <v>71.3</v>
          </cell>
        </row>
        <row r="119">
          <cell r="F119"/>
        </row>
        <row r="120">
          <cell r="F120">
            <v>80.400000000000006</v>
          </cell>
        </row>
        <row r="121">
          <cell r="F121">
            <v>74.400000000000006</v>
          </cell>
        </row>
        <row r="122">
          <cell r="F122">
            <v>75.3</v>
          </cell>
        </row>
        <row r="123">
          <cell r="F123"/>
        </row>
        <row r="124">
          <cell r="F124">
            <v>56.2</v>
          </cell>
        </row>
        <row r="125">
          <cell r="F125">
            <v>87.1</v>
          </cell>
        </row>
        <row r="126">
          <cell r="F126">
            <v>51.8</v>
          </cell>
        </row>
        <row r="127">
          <cell r="F127">
            <v>74.7</v>
          </cell>
        </row>
        <row r="128">
          <cell r="F128">
            <v>100</v>
          </cell>
        </row>
        <row r="129">
          <cell r="F129">
            <v>85.2</v>
          </cell>
        </row>
        <row r="130">
          <cell r="F130">
            <v>54.4</v>
          </cell>
        </row>
        <row r="131">
          <cell r="F131">
            <v>91</v>
          </cell>
        </row>
        <row r="132">
          <cell r="F132">
            <v>74.5</v>
          </cell>
        </row>
        <row r="133">
          <cell r="F133"/>
        </row>
        <row r="134">
          <cell r="F134">
            <v>62.6</v>
          </cell>
        </row>
        <row r="135">
          <cell r="F135">
            <v>50.6</v>
          </cell>
        </row>
        <row r="136">
          <cell r="F136">
            <v>68.5</v>
          </cell>
        </row>
        <row r="137">
          <cell r="F137">
            <v>76</v>
          </cell>
        </row>
        <row r="138">
          <cell r="F138">
            <v>69.3</v>
          </cell>
        </row>
        <row r="139">
          <cell r="F139">
            <v>37.6</v>
          </cell>
        </row>
        <row r="140">
          <cell r="F140">
            <v>60</v>
          </cell>
        </row>
        <row r="141">
          <cell r="F141">
            <v>77.400000000000006</v>
          </cell>
        </row>
        <row r="142">
          <cell r="F142">
            <v>82.6</v>
          </cell>
        </row>
        <row r="143">
          <cell r="F143">
            <v>60.3</v>
          </cell>
        </row>
        <row r="144">
          <cell r="F144">
            <v>87.8</v>
          </cell>
        </row>
        <row r="145">
          <cell r="F145">
            <v>89.4</v>
          </cell>
        </row>
        <row r="146">
          <cell r="F146">
            <v>85</v>
          </cell>
        </row>
        <row r="147">
          <cell r="F147">
            <v>94.9</v>
          </cell>
        </row>
        <row r="148">
          <cell r="F148">
            <v>59.3</v>
          </cell>
        </row>
        <row r="149">
          <cell r="F149">
            <v>45.8</v>
          </cell>
        </row>
        <row r="150">
          <cell r="F150">
            <v>89.8</v>
          </cell>
        </row>
        <row r="151">
          <cell r="F151">
            <v>68.599999999999994</v>
          </cell>
        </row>
        <row r="152">
          <cell r="F152">
            <v>83.7</v>
          </cell>
        </row>
        <row r="153">
          <cell r="F153">
            <v>80.3</v>
          </cell>
        </row>
        <row r="154">
          <cell r="F154">
            <v>84.7</v>
          </cell>
        </row>
        <row r="155">
          <cell r="F155">
            <v>74.2</v>
          </cell>
        </row>
        <row r="156">
          <cell r="F156">
            <v>64.099999999999994</v>
          </cell>
        </row>
        <row r="157">
          <cell r="F157">
            <v>72</v>
          </cell>
        </row>
        <row r="158">
          <cell r="F158">
            <v>61.9</v>
          </cell>
        </row>
        <row r="159">
          <cell r="F159">
            <v>39.200000000000003</v>
          </cell>
        </row>
        <row r="160">
          <cell r="F160">
            <v>57.1</v>
          </cell>
        </row>
        <row r="161">
          <cell r="F161">
            <v>77.599999999999994</v>
          </cell>
        </row>
        <row r="162">
          <cell r="F162">
            <v>85.7</v>
          </cell>
        </row>
        <row r="163">
          <cell r="F163">
            <v>85.3</v>
          </cell>
        </row>
        <row r="164">
          <cell r="F164">
            <v>80.8</v>
          </cell>
        </row>
        <row r="165">
          <cell r="F165">
            <v>87.7</v>
          </cell>
        </row>
        <row r="166">
          <cell r="F166">
            <v>45.5</v>
          </cell>
        </row>
        <row r="167">
          <cell r="F167">
            <v>88.9</v>
          </cell>
        </row>
        <row r="168">
          <cell r="F168">
            <v>71</v>
          </cell>
        </row>
        <row r="169">
          <cell r="F169">
            <v>76.400000000000006</v>
          </cell>
        </row>
        <row r="170">
          <cell r="F170">
            <v>85.4</v>
          </cell>
        </row>
        <row r="171">
          <cell r="F171">
            <v>75.599999999999994</v>
          </cell>
        </row>
        <row r="172">
          <cell r="F172">
            <v>46</v>
          </cell>
        </row>
        <row r="173">
          <cell r="F173">
            <v>67.7</v>
          </cell>
        </row>
        <row r="174">
          <cell r="F174">
            <v>75.2</v>
          </cell>
        </row>
        <row r="175">
          <cell r="F175">
            <v>27.5</v>
          </cell>
        </row>
        <row r="176">
          <cell r="F176">
            <v>37.200000000000003</v>
          </cell>
        </row>
        <row r="177">
          <cell r="F177">
            <v>71.2</v>
          </cell>
        </row>
        <row r="178">
          <cell r="F178">
            <v>68.5</v>
          </cell>
        </row>
        <row r="179">
          <cell r="F179">
            <v>49</v>
          </cell>
        </row>
        <row r="180">
          <cell r="F180"/>
        </row>
        <row r="181">
          <cell r="F181">
            <v>93</v>
          </cell>
        </row>
        <row r="182">
          <cell r="F182">
            <v>98</v>
          </cell>
        </row>
        <row r="183">
          <cell r="F183">
            <v>75.599999999999994</v>
          </cell>
        </row>
        <row r="184">
          <cell r="F184">
            <v>49.6</v>
          </cell>
        </row>
        <row r="185">
          <cell r="F185">
            <v>51.5</v>
          </cell>
        </row>
        <row r="186">
          <cell r="F186">
            <v>53</v>
          </cell>
        </row>
        <row r="187">
          <cell r="F187">
            <v>83</v>
          </cell>
        </row>
        <row r="188">
          <cell r="F188">
            <v>55.7</v>
          </cell>
        </row>
        <row r="189">
          <cell r="F189">
            <v>85.8</v>
          </cell>
        </row>
        <row r="190">
          <cell r="F190">
            <v>73.2</v>
          </cell>
        </row>
        <row r="191">
          <cell r="F191">
            <v>71.2</v>
          </cell>
        </row>
        <row r="192">
          <cell r="F192">
            <v>100</v>
          </cell>
        </row>
        <row r="193">
          <cell r="F193">
            <v>70.2</v>
          </cell>
        </row>
        <row r="194">
          <cell r="F194">
            <v>60.8</v>
          </cell>
        </row>
        <row r="195">
          <cell r="F195">
            <v>64.099999999999994</v>
          </cell>
        </row>
        <row r="196">
          <cell r="F196">
            <v>100</v>
          </cell>
        </row>
        <row r="197">
          <cell r="F197">
            <v>74.599999999999994</v>
          </cell>
        </row>
        <row r="198">
          <cell r="F198">
            <v>89.8</v>
          </cell>
        </row>
        <row r="199">
          <cell r="F199">
            <v>62.7</v>
          </cell>
        </row>
        <row r="200">
          <cell r="F200">
            <v>93.3</v>
          </cell>
        </row>
        <row r="201">
          <cell r="F201">
            <v>55.9</v>
          </cell>
        </row>
        <row r="202">
          <cell r="F202">
            <v>60.7</v>
          </cell>
        </row>
        <row r="203">
          <cell r="F203">
            <v>67.400000000000006</v>
          </cell>
        </row>
        <row r="204">
          <cell r="F204">
            <v>81.400000000000006</v>
          </cell>
        </row>
        <row r="205">
          <cell r="F205">
            <v>64.599999999999994</v>
          </cell>
        </row>
        <row r="206">
          <cell r="F206">
            <v>68</v>
          </cell>
        </row>
        <row r="207">
          <cell r="F207">
            <v>53.3</v>
          </cell>
        </row>
        <row r="208">
          <cell r="F208">
            <v>37.4</v>
          </cell>
        </row>
        <row r="209">
          <cell r="F209">
            <v>71</v>
          </cell>
        </row>
        <row r="210">
          <cell r="F210">
            <v>82.8</v>
          </cell>
        </row>
        <row r="211">
          <cell r="F211">
            <v>65</v>
          </cell>
        </row>
        <row r="212">
          <cell r="F212">
            <v>61.9</v>
          </cell>
        </row>
        <row r="213">
          <cell r="F213">
            <v>89.9</v>
          </cell>
        </row>
        <row r="214">
          <cell r="F214"/>
        </row>
        <row r="215">
          <cell r="F215">
            <v>50.1</v>
          </cell>
        </row>
        <row r="216">
          <cell r="F216">
            <v>70.599999999999994</v>
          </cell>
        </row>
        <row r="217">
          <cell r="F217">
            <v>84.2</v>
          </cell>
        </row>
        <row r="218">
          <cell r="F218">
            <v>49.8</v>
          </cell>
        </row>
        <row r="219">
          <cell r="F219">
            <v>62.2</v>
          </cell>
        </row>
        <row r="220">
          <cell r="F220"/>
        </row>
        <row r="221">
          <cell r="F221">
            <v>89</v>
          </cell>
        </row>
        <row r="222">
          <cell r="F222">
            <v>52.5</v>
          </cell>
        </row>
        <row r="223">
          <cell r="F223">
            <v>96.1</v>
          </cell>
        </row>
        <row r="224">
          <cell r="F224">
            <v>75.7</v>
          </cell>
        </row>
        <row r="225">
          <cell r="F225">
            <v>79</v>
          </cell>
        </row>
        <row r="226">
          <cell r="F226">
            <v>95.9</v>
          </cell>
        </row>
        <row r="227">
          <cell r="F227">
            <v>76.5</v>
          </cell>
        </row>
        <row r="228">
          <cell r="F228">
            <v>88.9</v>
          </cell>
        </row>
        <row r="229">
          <cell r="F229"/>
        </row>
        <row r="230">
          <cell r="F230">
            <v>81.400000000000006</v>
          </cell>
        </row>
        <row r="231">
          <cell r="F231">
            <v>99.8</v>
          </cell>
        </row>
        <row r="232">
          <cell r="F232">
            <v>70.7</v>
          </cell>
        </row>
        <row r="233">
          <cell r="F233">
            <v>76.5</v>
          </cell>
        </row>
        <row r="234">
          <cell r="F234">
            <v>91.3</v>
          </cell>
        </row>
        <row r="235">
          <cell r="F235"/>
        </row>
        <row r="236">
          <cell r="F236">
            <v>55.4</v>
          </cell>
        </row>
        <row r="237">
          <cell r="F237">
            <v>80</v>
          </cell>
        </row>
        <row r="238">
          <cell r="F238">
            <v>62.9</v>
          </cell>
        </row>
        <row r="239">
          <cell r="F239">
            <v>84.6</v>
          </cell>
        </row>
        <row r="240">
          <cell r="F240">
            <v>82.7</v>
          </cell>
        </row>
        <row r="241">
          <cell r="F241">
            <v>61.4</v>
          </cell>
        </row>
        <row r="242">
          <cell r="F242">
            <v>78</v>
          </cell>
        </row>
        <row r="243">
          <cell r="F243">
            <v>67.599999999999994</v>
          </cell>
        </row>
        <row r="244">
          <cell r="F244">
            <v>49.2</v>
          </cell>
        </row>
        <row r="245">
          <cell r="F245">
            <v>50.9</v>
          </cell>
        </row>
        <row r="246">
          <cell r="F246"/>
        </row>
        <row r="247">
          <cell r="F247">
            <v>76.099999999999994</v>
          </cell>
        </row>
        <row r="248">
          <cell r="F248">
            <v>66.8</v>
          </cell>
        </row>
        <row r="249">
          <cell r="F249">
            <v>49.9</v>
          </cell>
        </row>
        <row r="250">
          <cell r="F250">
            <v>56</v>
          </cell>
        </row>
        <row r="251">
          <cell r="F251">
            <v>83.6</v>
          </cell>
        </row>
        <row r="252">
          <cell r="F252">
            <v>77.400000000000006</v>
          </cell>
        </row>
        <row r="253">
          <cell r="F253">
            <v>92.2</v>
          </cell>
        </row>
        <row r="254">
          <cell r="F254"/>
        </row>
        <row r="255">
          <cell r="F255">
            <v>49.2</v>
          </cell>
        </row>
        <row r="256">
          <cell r="F256"/>
        </row>
        <row r="257">
          <cell r="F257">
            <v>66.2</v>
          </cell>
        </row>
        <row r="258">
          <cell r="F258">
            <v>62.3</v>
          </cell>
        </row>
        <row r="259">
          <cell r="F259">
            <v>79.3</v>
          </cell>
        </row>
        <row r="260">
          <cell r="F260">
            <v>98.2</v>
          </cell>
        </row>
        <row r="261">
          <cell r="F261">
            <v>46.5</v>
          </cell>
        </row>
        <row r="262">
          <cell r="F262">
            <v>65.2</v>
          </cell>
        </row>
        <row r="263">
          <cell r="F263">
            <v>90.8</v>
          </cell>
        </row>
        <row r="264">
          <cell r="F264">
            <v>64.2</v>
          </cell>
        </row>
        <row r="265">
          <cell r="F265">
            <v>60.4</v>
          </cell>
        </row>
        <row r="266">
          <cell r="F266">
            <v>49.5</v>
          </cell>
        </row>
        <row r="267">
          <cell r="F267">
            <v>98.9</v>
          </cell>
        </row>
        <row r="268">
          <cell r="F268">
            <v>91.7</v>
          </cell>
        </row>
        <row r="269">
          <cell r="F269">
            <v>65.900000000000006</v>
          </cell>
        </row>
        <row r="270">
          <cell r="F270">
            <v>88.2</v>
          </cell>
        </row>
        <row r="271">
          <cell r="F271">
            <v>58</v>
          </cell>
        </row>
        <row r="272">
          <cell r="F272">
            <v>59.3</v>
          </cell>
        </row>
        <row r="273">
          <cell r="F273">
            <v>83.6</v>
          </cell>
        </row>
        <row r="274">
          <cell r="F274">
            <v>93</v>
          </cell>
        </row>
        <row r="275">
          <cell r="F275">
            <v>34.4</v>
          </cell>
        </row>
        <row r="276">
          <cell r="F276">
            <v>74.099999999999994</v>
          </cell>
        </row>
        <row r="277">
          <cell r="F277">
            <v>62.2</v>
          </cell>
        </row>
        <row r="278">
          <cell r="F278">
            <v>86.8</v>
          </cell>
        </row>
        <row r="279">
          <cell r="F279">
            <v>78.8</v>
          </cell>
        </row>
        <row r="280">
          <cell r="F280">
            <v>94.1</v>
          </cell>
        </row>
        <row r="281">
          <cell r="F281">
            <v>97.7</v>
          </cell>
        </row>
        <row r="282">
          <cell r="F282">
            <v>41.7</v>
          </cell>
        </row>
        <row r="283">
          <cell r="F283">
            <v>58.9</v>
          </cell>
        </row>
        <row r="284">
          <cell r="F284">
            <v>85.4</v>
          </cell>
        </row>
        <row r="285">
          <cell r="F285">
            <v>68.599999999999994</v>
          </cell>
        </row>
        <row r="286">
          <cell r="F286">
            <v>77.599999999999994</v>
          </cell>
        </row>
        <row r="287">
          <cell r="F287">
            <v>75.2</v>
          </cell>
        </row>
        <row r="288">
          <cell r="F288">
            <v>100</v>
          </cell>
        </row>
        <row r="289">
          <cell r="F289">
            <v>77.5</v>
          </cell>
        </row>
        <row r="290">
          <cell r="F290">
            <v>80.099999999999994</v>
          </cell>
        </row>
        <row r="291">
          <cell r="F291">
            <v>35.700000000000003</v>
          </cell>
        </row>
        <row r="292">
          <cell r="F292">
            <v>42</v>
          </cell>
        </row>
        <row r="293">
          <cell r="F293">
            <v>77.5</v>
          </cell>
        </row>
        <row r="294">
          <cell r="F294">
            <v>54.1</v>
          </cell>
        </row>
        <row r="295">
          <cell r="F295">
            <v>67.8</v>
          </cell>
        </row>
        <row r="296">
          <cell r="F296">
            <v>68.2</v>
          </cell>
        </row>
        <row r="297">
          <cell r="F297">
            <v>91.8</v>
          </cell>
        </row>
        <row r="298">
          <cell r="F298">
            <v>73.599999999999994</v>
          </cell>
        </row>
        <row r="299">
          <cell r="F299">
            <v>90.6</v>
          </cell>
        </row>
        <row r="300">
          <cell r="F300"/>
        </row>
        <row r="301">
          <cell r="F301">
            <v>63.1</v>
          </cell>
        </row>
      </sheetData>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6247.762117245373" createdVersion="8" refreshedVersion="8" minRefreshableVersion="3" recordCount="298" xr:uid="{8131B239-A908-4C5B-8E5E-BB308650639B}">
  <cacheSource type="worksheet">
    <worksheetSource ref="A1:G1048576" sheet="Clean_Data"/>
  </cacheSource>
  <cacheFields count="7">
    <cacheField name="Student_ID" numFmtId="0">
      <sharedItems containsBlank="1"/>
    </cacheField>
    <cacheField name="Program" numFmtId="0">
      <sharedItems containsBlank="1" count="11">
        <s v="Public Health"/>
        <s v="Business Administration"/>
        <s v="Engineering"/>
        <s v="Computer Science"/>
        <s v="Data Science"/>
        <s v="Unknown"/>
        <s v="Economics"/>
        <s v="-"/>
        <s v="CS"/>
        <s v="PH"/>
        <m/>
      </sharedItems>
    </cacheField>
    <cacheField name="Attendance_Percent" numFmtId="0">
      <sharedItems containsString="0" containsBlank="1" containsNumber="1" minValue="-5" maxValue="100"/>
    </cacheField>
    <cacheField name="Assignment_Score" numFmtId="0">
      <sharedItems containsBlank="1" containsMixedTypes="1" containsNumber="1" minValue="-10" maxValue="100"/>
    </cacheField>
    <cacheField name="Midterm_Score" numFmtId="0">
      <sharedItems containsString="0" containsBlank="1" containsNumber="1" minValue="-2" maxValue="117" count="222">
        <n v="49.5"/>
        <n v="52.4"/>
        <n v="71"/>
        <n v="89.4"/>
        <n v="75.599999999999994"/>
        <n v="100"/>
        <n v="94.5"/>
        <n v="86.8"/>
        <n v="83"/>
        <n v="58.4"/>
        <n v="66.099999999999994"/>
        <n v="79"/>
        <n v="78.099999999999994"/>
        <n v="68"/>
        <n v="-2"/>
        <n v="85.2"/>
        <n v="88.6"/>
        <n v="56"/>
        <n v="91.7"/>
        <n v="52"/>
        <n v="81.8"/>
        <n v="79.5"/>
        <n v="83.2"/>
        <n v="81.400000000000006"/>
        <n v="81.099999999999994"/>
        <n v="51.9"/>
        <n v="72.900000000000006"/>
        <n v="72.2"/>
        <n v="75.7"/>
        <n v="67"/>
        <n v="59.3"/>
        <n v="95.1"/>
        <n v="96.2"/>
        <n v="78.5"/>
        <n v="44.1"/>
        <n v="42.3"/>
        <n v="59.7"/>
        <n v="77.900000000000006"/>
        <n v="66"/>
        <n v="78.3"/>
        <n v="58.9"/>
        <n v="85.9"/>
        <n v="48.8"/>
        <n v="61"/>
        <n v="72.7"/>
        <n v="43.5"/>
        <n v="78.400000000000006"/>
        <n v="97.7"/>
        <n v="86.7"/>
        <n v="33.5"/>
        <n v="70.3"/>
        <n v="89.8"/>
        <n v="60.4"/>
        <n v="67.900000000000006"/>
        <n v="58"/>
        <n v="49.7"/>
        <n v="32.9"/>
        <n v="65.2"/>
        <n v="45.6"/>
        <n v="61.2"/>
        <n v="65.900000000000006"/>
        <n v="61.1"/>
        <n v="86.4"/>
        <n v="65.8"/>
        <n v="87.8"/>
        <n v="33.200000000000003"/>
        <n v="86.3"/>
        <n v="76.8"/>
        <n v="68.3"/>
        <n v="62.6"/>
        <n v="65.099999999999994"/>
        <n v="58.2"/>
        <n v="76.900000000000006"/>
        <n v="53.4"/>
        <n v="80.900000000000006"/>
        <n v="59.2"/>
        <n v="76.2"/>
        <n v="69.7"/>
        <n v="79.3"/>
        <n v="77"/>
        <n v="67.2"/>
        <n v="71.3"/>
        <n v="63"/>
        <n v="71.900000000000006"/>
        <n v="62.4"/>
        <n v="50.1"/>
        <n v="85.6"/>
        <n v="75.400000000000006"/>
        <n v="45.7"/>
        <n v="56.8"/>
        <n v="93.6"/>
        <n v="88.8"/>
        <n v="47.8"/>
        <n v="29.6"/>
        <n v="95.9"/>
        <n v="59.5"/>
        <n v="86"/>
        <n v="89.7"/>
        <n v="58.3"/>
        <n v="51"/>
        <n v="58.1"/>
        <n v="40.4"/>
        <n v="70.8"/>
        <n v="65.400000000000006"/>
        <n v="72.8"/>
        <n v="43.4"/>
        <n v="54.8"/>
        <n v="64.099999999999994"/>
        <n v="69.5"/>
        <n v="39.6"/>
        <n v="64.7"/>
        <n v="56.4"/>
        <n v="62"/>
        <n v="80"/>
        <n v="83.8"/>
        <n v="71.5"/>
        <n v="49.3"/>
        <n v="87.5"/>
        <n v="76.599999999999994"/>
        <n v="73"/>
        <n v="64"/>
        <n v="92.1"/>
        <n v="53.3"/>
        <n v="79.7"/>
        <n v="48"/>
        <n v="88.3"/>
        <n v="49"/>
        <n v="31.2"/>
        <n v="58.7"/>
        <n v="63.5"/>
        <n v="88.7"/>
        <n v="78.599999999999994"/>
        <n v="64.400000000000006"/>
        <n v="48.1"/>
        <n v="74.2"/>
        <n v="65"/>
        <n v="79.8"/>
        <n v="77.8"/>
        <n v="56.7"/>
        <n v="66.2"/>
        <n v="41.9"/>
        <n v="90.9"/>
        <n v="74.099999999999994"/>
        <n v="72.5"/>
        <n v="59.1"/>
        <n v="46.4"/>
        <n v="52.9"/>
        <n v="91.2"/>
        <n v="66.3"/>
        <n v="97.5"/>
        <n v="82.9"/>
        <n v="64.5"/>
        <n v="77.5"/>
        <n v="99.6"/>
        <n v="85.5"/>
        <n v="53.1"/>
        <n v="67.3"/>
        <n v="38.6"/>
        <n v="61.7"/>
        <n v="82.7"/>
        <n v="82.5"/>
        <n v="44.7"/>
        <n v="67.599999999999994"/>
        <n v="60.9"/>
        <n v="65.5"/>
        <n v="51.5"/>
        <n v="71.2"/>
        <n v="63.3"/>
        <n v="91.4"/>
        <n v="44.6"/>
        <n v="78.7"/>
        <n v="62.7"/>
        <n v="48.5"/>
        <n v="61.9"/>
        <n v="69.8"/>
        <n v="53.7"/>
        <n v="73.599999999999994"/>
        <n v="117"/>
        <n v="93.3"/>
        <n v="90.8"/>
        <n v="74.8"/>
        <n v="71.7"/>
        <n v="88.2"/>
        <n v="50.7"/>
        <n v="43.2"/>
        <n v="62.5"/>
        <n v="49.9"/>
        <n v="70.5"/>
        <n v="74.7"/>
        <n v="57.1"/>
        <n v="70.599999999999994"/>
        <n v="49.8"/>
        <n v="54"/>
        <n v="80.599999999999994"/>
        <n v="73.099999999999994"/>
        <n v="52.5"/>
        <n v="22.2"/>
        <n v="11.4"/>
        <n v="60.2"/>
        <n v="63.7"/>
        <n v="96.1"/>
        <n v="81.599999999999994"/>
        <n v="51.2"/>
        <n v="57.9"/>
        <n v="38.9"/>
        <n v="61.3"/>
        <n v="63.6"/>
        <n v="56.2"/>
        <n v="47.3"/>
        <n v="87.1"/>
        <n v="66.5"/>
        <n v="55.4"/>
        <n v="84.7"/>
        <n v="83.5"/>
        <n v="44.8"/>
        <n v="67.099999999999994"/>
        <n v="72.400000000000006"/>
        <n v="85.4"/>
        <n v="80.400000000000006"/>
        <n v="69"/>
        <n v="70.400000000000006"/>
        <m/>
      </sharedItems>
    </cacheField>
    <cacheField name="Final_Score" numFmtId="0">
      <sharedItems containsBlank="1" containsMixedTypes="1" containsNumber="1" minValue="27.5" maxValue="114"/>
    </cacheField>
    <cacheField name="Academic_Status" numFmtId="0">
      <sharedItems containsBlank="1" count="6">
        <s v="At Risk"/>
        <s v="Good Standing"/>
        <s v="Unknown"/>
        <s v="AR"/>
        <s v="-"/>
        <m/>
      </sharedItems>
    </cacheField>
  </cacheFields>
  <extLst>
    <ext xmlns:x14="http://schemas.microsoft.com/office/spreadsheetml/2009/9/main" uri="{725AE2AE-9491-48be-B2B4-4EB974FC3084}">
      <x14:pivotCacheDefinition pivotCacheId="19225220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6247.793984722222" createdVersion="8" refreshedVersion="8" minRefreshableVersion="3" recordCount="297" xr:uid="{0DAC81BE-FB91-42EA-9387-AB7A4D765A47}">
  <cacheSource type="worksheet">
    <worksheetSource name="Deeqo1"/>
  </cacheSource>
  <cacheFields count="7">
    <cacheField name="Student_ID" numFmtId="0">
      <sharedItems count="279">
        <s v="STD0229"/>
        <s v="STD0112"/>
        <s v="STD0272"/>
        <s v="STD0055"/>
        <s v="STD0045"/>
        <s v="STD0097"/>
        <s v="STD0284"/>
        <s v="STD0261"/>
        <s v="STD0160"/>
        <s v="STD0096"/>
        <s v="STD0214"/>
        <s v="STD0249"/>
        <s v="STD0279"/>
        <s v="STD0213"/>
        <s v="STD0215"/>
        <s v="STD0236"/>
        <s v="STD0253"/>
        <s v="STD0053"/>
        <s v="STD0009"/>
        <s v="STD0057"/>
        <s v="STD0259"/>
        <s v="STD0289"/>
        <s v="STD0188"/>
        <s v="STD0269"/>
        <s v="unknow"/>
        <s v="STD0147"/>
        <s v="STD0276"/>
        <s v="STD0101"/>
        <s v="STD0291"/>
        <s v="STD0133"/>
        <s v="STD0171"/>
        <s v="STD0016"/>
        <s v="STD0242"/>
        <s v="STD0041"/>
        <s v="STD0282"/>
        <s v="STD0088"/>
        <s v="STD0186"/>
        <s v="STD0187"/>
        <s v="STD0020"/>
        <s v="STD0113"/>
        <s v="STD0093"/>
        <s v="STD0114"/>
        <s v="STD0118"/>
        <s v="STD0040"/>
        <s v="STD0286"/>
        <s v="STD0224"/>
        <s v="STD0091"/>
        <s v="STD0185"/>
        <s v="STD0212"/>
        <s v="STD0210"/>
        <s v="STD0281"/>
        <s v="STD0027"/>
        <s v="STD0199"/>
        <s v="STD0039"/>
        <s v="STD0050"/>
        <s v="STD0135"/>
        <s v="STD0018"/>
        <s v="STD0034"/>
        <s v="STD0066"/>
        <s v="STD0086"/>
        <s v="STD0193"/>
        <s v="STD0081"/>
        <s v="STD0052"/>
        <s v="STD0201"/>
        <s v="STD0275"/>
        <s v="STD0005"/>
        <s v="STD0134"/>
        <s v="STD0138"/>
        <s v="STD0098"/>
        <s v="STD0197"/>
        <s v="STD0056"/>
        <s v="STD0108"/>
        <s v="STD0168"/>
        <s v="STD0148"/>
        <s v="STD0285"/>
        <s v="STD0002"/>
        <s v="STD0157"/>
        <s v="STD0217"/>
        <s v="STD0221"/>
        <s v="STD0205"/>
        <s v="STD0084"/>
        <s v="STD0082"/>
        <s v="STD0146"/>
        <s v="STD0069"/>
        <s v="STD0119"/>
        <s v="STD0032"/>
        <s v="STD0090"/>
        <s v="STD0072"/>
        <s v="STD0049"/>
        <s v="STD0191"/>
        <s v="STD0287"/>
        <s v="STD0127"/>
        <s v="STD0181"/>
        <s v="STD0216"/>
        <s v="STD0233"/>
        <s v="STD0105"/>
        <s v="STD0078"/>
        <s v="STD0180"/>
        <s v="STD0116"/>
        <s v="STD0007"/>
        <s v="STD0141"/>
        <s v="STD0260"/>
        <s v="STD0222"/>
        <s v="STD0251"/>
        <s v="STD0132"/>
        <s v="STD0099"/>
        <s v="STD0182"/>
        <s v="STD0227"/>
        <s v="STD0121"/>
        <s v="STD0170"/>
        <s v="STD0252"/>
        <s v="STD0228"/>
        <s v="STD0080"/>
        <s v="STD0179"/>
        <s v="STD0274"/>
        <s v="STD0010"/>
        <s v="STD0102"/>
        <s v="STD0021"/>
        <s v="STD0011"/>
        <s v="STD0037"/>
        <s v="STD0013"/>
        <s v="STD0025"/>
        <s v="STD0076"/>
        <s v="STD0111"/>
        <s v="STD0256"/>
        <s v="STD0071"/>
        <s v="STD0022"/>
        <s v="STD0268"/>
        <s v="STD0077"/>
        <s v="STD0123"/>
        <s v="STD0131"/>
        <s v="STD0035"/>
        <s v="STD0176"/>
        <s v="STD0254"/>
        <s v="STD0270"/>
        <s v="STD0203"/>
        <s v="STD0030"/>
        <s v="STD0267"/>
        <s v="STD0051"/>
        <s v="STD0008"/>
        <s v="STD0046"/>
        <s v="STD0004"/>
        <s v="STD0218"/>
        <s v="STD0206"/>
        <s v="STD0143"/>
        <s v="STD0144"/>
        <s v="STD0255"/>
        <s v="STD0074"/>
        <s v="STD0158"/>
        <s v="STD0024"/>
        <s v="STD0273"/>
        <s v="STD0042"/>
        <s v="STD0154"/>
        <s v="STD0126"/>
        <s v="STD0271"/>
        <s v="STD0184"/>
        <s v="STD0246"/>
        <s v="STD0058"/>
        <s v="STD0194"/>
        <s v="STD0258"/>
        <s v="STD0044"/>
        <s v="STD0208"/>
        <s v="STD0023"/>
        <s v="STD0278"/>
        <s v="STD0089"/>
        <s v="STD0110"/>
        <s v="STD0070"/>
        <s v="STD0094"/>
        <s v="STD0153"/>
        <s v="STD0137"/>
        <s v="STD0177"/>
        <s v="STD0163"/>
        <s v="STD0124"/>
        <s v="STD0245"/>
        <s v="STD0083"/>
        <s v="STD0095"/>
        <s v="STD0006"/>
        <s v="STD0196"/>
        <s v="STD0136"/>
        <s v="STD0166"/>
        <s v="STD0109"/>
        <s v="STD0266"/>
        <s v="STD0239"/>
        <s v="STD0165"/>
        <s v="STD0250"/>
        <s v="STD0120"/>
        <s v="STD0237"/>
        <s v="STD0059"/>
        <s v="STD0100"/>
        <s v="STD0234"/>
        <s v="STD0225"/>
        <s v="STD0063"/>
        <s v="STD0288"/>
        <s v="STD0062"/>
        <s v="STD0036"/>
        <s v="STD0028"/>
        <s v="STD0262"/>
        <s v="STD0115"/>
        <s v="STD0106"/>
        <s v="STD0001"/>
        <s v="STD0243"/>
        <s v="STD0162"/>
        <s v="STD0122"/>
        <s v="STD0161"/>
        <s v="STD0073"/>
        <s v="STD0012"/>
        <s v="STD0248"/>
        <s v="STD0202"/>
        <s v="STD0149"/>
        <s v="STD0219"/>
        <s v="STD0240"/>
        <s v="STD0104"/>
        <s v="STD0178"/>
        <s v="STD0198"/>
        <s v="STD0263"/>
        <s v="STD0290"/>
        <s v="STD0017"/>
        <s v="STD0192"/>
        <s v="STD0087"/>
        <s v="STD0129"/>
        <s v="STD0264"/>
        <s v="STD0230"/>
        <s v="STD0075"/>
        <s v="STD0085"/>
        <s v="STD0139"/>
        <s v="STD0277"/>
        <s v="STD0029"/>
        <s v="STD0280"/>
        <s v="STD0167"/>
        <s v="STD0207"/>
        <s v="STD0223"/>
        <s v="STD0174"/>
        <s v="STD0151"/>
        <s v="STD0175"/>
        <s v="STD0189"/>
        <s v="STD0103"/>
        <s v="STD0200"/>
        <s v="STD0257"/>
        <s v="STD0190"/>
        <s v="STD0232"/>
        <s v="STD0068"/>
        <s v="STD0079"/>
        <s v="STD0142"/>
        <s v="STD0015"/>
        <s v="STD0128"/>
        <s v="STD0125"/>
        <s v="STD0204"/>
        <s v="STD0156"/>
        <s v="STD0172"/>
        <s v="STD0150"/>
        <s v="STD0003"/>
        <s v="STD0283"/>
        <s v="STD0238"/>
        <s v="STD0195"/>
        <s v="STD0220"/>
        <s v="STD0235"/>
        <s v="STD0159"/>
        <s v="STD0211"/>
        <s v="STD0292"/>
        <s v="STD0038"/>
        <s v="STD0117"/>
        <s v="STD0145"/>
        <s v="STD0014"/>
        <s v="STD0155"/>
        <s v="STD0061"/>
        <s v="STD0152"/>
        <s v="STD0244"/>
        <s v="STD0265"/>
        <s v="STD0048"/>
        <s v="STD0130"/>
        <s v="STD0140"/>
        <s v="STD0169"/>
        <s v="STD0043"/>
        <s v="STD0231"/>
        <s v="STD0065"/>
        <s v="STD0033"/>
        <s v="STD0092"/>
        <s v="STD0173"/>
        <s v="STD0067"/>
      </sharedItems>
    </cacheField>
    <cacheField name="Program" numFmtId="0">
      <sharedItems count="10">
        <s v="Public Health"/>
        <s v="Business Administration"/>
        <s v="Engineering"/>
        <s v="Computer Science"/>
        <s v="Data Science"/>
        <s v="Unknown"/>
        <s v="Economics"/>
        <s v="-"/>
        <s v="CS"/>
        <s v="PH"/>
      </sharedItems>
    </cacheField>
    <cacheField name="Attendance_Percent" numFmtId="0">
      <sharedItems containsSemiMixedTypes="0" containsString="0" containsNumber="1" minValue="-5" maxValue="100" count="195">
        <n v="58.7"/>
        <n v="55.6"/>
        <n v="95.4"/>
        <n v="86.7"/>
        <n v="87.6"/>
        <n v="74.099999999999994"/>
        <n v="73.400000000000006"/>
        <n v="77.900000000000006"/>
        <n v="100"/>
        <n v="96.1"/>
        <n v="83.9"/>
        <n v="98.6"/>
        <n v="73.099999999999994"/>
        <n v="83.4"/>
        <n v="91.7"/>
        <n v="84.4"/>
        <n v="63.2"/>
        <n v="88.4"/>
        <n v="79.7"/>
        <n v="80.900000000000006"/>
        <n v="85.5"/>
        <n v="48.8"/>
        <n v="69.400000000000006"/>
        <n v="62.8"/>
        <n v="84.5"/>
        <n v="76.2"/>
        <n v="65.7"/>
        <n v="95"/>
        <n v="68.900000000000006"/>
        <n v="63.3"/>
        <n v="82.1"/>
        <n v="94.8"/>
        <n v="83.8"/>
        <n v="95.6"/>
        <n v="97.7"/>
        <n v="96.3"/>
        <n v="97.1"/>
        <n v="98.1"/>
        <n v="86.4"/>
        <n v="75.8"/>
        <n v="77.3"/>
        <n v="94.1"/>
        <n v="89.2"/>
        <n v="83.3"/>
        <n v="74"/>
        <n v="86.9"/>
        <n v="96.5"/>
        <n v="90.7"/>
        <n v="82.7"/>
        <n v="76.599999999999994"/>
        <n v="85.8"/>
        <n v="84.6"/>
        <n v="76"/>
        <n v="96.6"/>
        <n v="80.7"/>
        <n v="63.9"/>
        <n v="91.1"/>
        <n v="88.7"/>
        <n v="74.7"/>
        <n v="82.5"/>
        <n v="91.5"/>
        <n v="92.4"/>
        <n v="78.8"/>
        <n v="90.5"/>
        <n v="88"/>
        <n v="72.8"/>
        <n v="90.8"/>
        <n v="67"/>
        <n v="78.3"/>
        <n v="65.400000000000006"/>
        <n v="70.099999999999994"/>
        <n v="57.3"/>
        <n v="68.599999999999994"/>
        <n v="59"/>
        <n v="87.1"/>
        <n v="72.099999999999994"/>
        <n v="84.1"/>
        <n v="70.900000000000006"/>
        <n v="99.9"/>
        <n v="95.3"/>
        <n v="81.900000000000006"/>
        <n v="70"/>
        <n v="76.099999999999994"/>
        <n v="83.7"/>
        <n v="87.2"/>
        <n v="45.5"/>
        <n v="69.2"/>
        <n v="74.2"/>
        <n v="98.3"/>
        <n v="71.8"/>
        <n v="74.900000000000006"/>
        <n v="88.9"/>
        <n v="60.5"/>
        <n v="89.6"/>
        <n v="73.7"/>
        <n v="76.5"/>
        <n v="99.4"/>
        <n v="79.099999999999994"/>
        <n v="96.8"/>
        <n v="65.2"/>
        <n v="66.3"/>
        <n v="81.400000000000006"/>
        <n v="88.6"/>
        <n v="41.3"/>
        <n v="85.4"/>
        <n v="66.8"/>
        <n v="97.2"/>
        <n v="78"/>
        <n v="92.2"/>
        <n v="86"/>
        <n v="98.5"/>
        <n v="93.2"/>
        <n v="65"/>
        <n v="94"/>
        <n v="75.400000000000006"/>
        <n v="61.5"/>
        <n v="77.2"/>
        <n v="90.6"/>
        <n v="83.1"/>
        <n v="68.5"/>
        <n v="82"/>
        <n v="90"/>
        <n v="-5"/>
        <n v="91.4"/>
        <n v="57"/>
        <n v="93.3"/>
        <n v="93.5"/>
        <n v="70.7"/>
        <n v="77.599999999999994"/>
        <n v="57.2"/>
        <n v="85"/>
        <n v="71.900000000000006"/>
        <n v="74.599999999999994"/>
        <n v="59.4"/>
        <n v="88.8"/>
        <n v="55.2"/>
        <n v="62.9"/>
        <n v="86.2"/>
        <n v="84.8"/>
        <n v="85.1"/>
        <n v="67.8"/>
        <n v="80.3"/>
        <n v="71.7"/>
        <n v="94.2"/>
        <n v="92.8"/>
        <n v="72.900000000000006"/>
        <n v="80"/>
        <n v="84.9"/>
        <n v="89.8"/>
        <n v="93.7"/>
        <n v="-4"/>
        <n v="91.8"/>
        <n v="97.9"/>
        <n v="75.599999999999994"/>
        <n v="86.6"/>
        <n v="81.599999999999994"/>
        <n v="93.4"/>
        <n v="90.1"/>
        <n v="83.5"/>
        <n v="78.599999999999994"/>
        <n v="99.5"/>
        <n v="92"/>
        <n v="77.7"/>
        <n v="72.2"/>
        <n v="88.3"/>
        <n v="72.3"/>
        <n v="67.900000000000006"/>
        <n v="67.3"/>
        <n v="80.400000000000006"/>
        <n v="73.2"/>
        <n v="79.5"/>
        <n v="69.599999999999994"/>
        <n v="96.2"/>
        <n v="77.8"/>
        <n v="70.400000000000006"/>
        <n v="67.2"/>
        <n v="97.4"/>
        <n v="79.900000000000006"/>
        <n v="92.5"/>
        <n v="73.599999999999994"/>
        <n v="82.6"/>
        <n v="75.2"/>
        <n v="69.900000000000006"/>
        <n v="74.3"/>
        <n v="92.7"/>
        <n v="85.2"/>
        <n v="60.8"/>
        <n v="79.8"/>
        <n v="87.8"/>
        <n v="66.5"/>
        <n v="84.2"/>
        <n v="58.5"/>
        <n v="65.3"/>
        <n v="61.9"/>
        <n v="63.5"/>
      </sharedItems>
    </cacheField>
    <cacheField name="Assignment_Score" numFmtId="0">
      <sharedItems containsMixedTypes="1" containsNumber="1" minValue="-10" maxValue="100" count="208">
        <n v="69.8"/>
        <n v="93.7"/>
        <n v="53.1"/>
        <n v="72.400000000000006"/>
        <n v="91.8"/>
        <n v="96"/>
        <n v="77.7"/>
        <n v="51.3"/>
        <n v="65.8"/>
        <n v="71.5"/>
        <s v="-"/>
        <n v="49.6"/>
        <n v="73.3"/>
        <n v="88.4"/>
        <n v="58.5"/>
        <n v="43.6"/>
        <n v="52.8"/>
        <n v="78.3"/>
        <n v="91"/>
        <n v="96.6"/>
        <n v="82"/>
        <n v="67.599999999999994"/>
        <n v="91.4"/>
        <n v="100"/>
        <n v="64.3"/>
        <n v="60.8"/>
        <n v="69.3"/>
        <n v="56.1"/>
        <n v="80.3"/>
        <n v="66.900000000000006"/>
        <n v="72.2"/>
        <n v="95.2"/>
        <n v="86"/>
        <n v="89.2"/>
        <n v="74.099999999999994"/>
        <n v="79.099999999999994"/>
        <n v="53.2"/>
        <n v="82.3"/>
        <n v="70.900000000000006"/>
        <n v="50.8"/>
        <n v="62.9"/>
        <n v="78"/>
        <n v="65"/>
        <n v="86.8"/>
        <n v="70.599999999999994"/>
        <n v="67.5"/>
        <n v="86.7"/>
        <n v="72.5"/>
        <n v="65.2"/>
        <n v="49"/>
        <n v="77.400000000000006"/>
        <n v="85.3"/>
        <n v="78.099999999999994"/>
        <n v="55"/>
        <n v="63.9"/>
        <n v="45.1"/>
        <n v="93.9"/>
        <n v="87.9"/>
        <n v="80.5"/>
        <n v="82.2"/>
        <n v="68.900000000000006"/>
        <n v="99.4"/>
        <n v="74.8"/>
        <n v="51.5"/>
        <n v="75.3"/>
        <n v="60.3"/>
        <n v="75.8"/>
        <n v="69.099999999999994"/>
        <n v="94.1"/>
        <n v="81.3"/>
        <n v="72.7"/>
        <n v="67.3"/>
        <n v="87.7"/>
        <n v="72.900000000000006"/>
        <n v="51.2"/>
        <n v="75.900000000000006"/>
        <n v="84.6"/>
        <n v="41.9"/>
        <n v="60.4"/>
        <n v="58.7"/>
        <n v="41"/>
        <n v="61.7"/>
        <n v="79.599999999999994"/>
        <n v="76.099999999999994"/>
        <n v="70.3"/>
        <n v="53.4"/>
        <n v="79.7"/>
        <n v="77.5"/>
        <n v="71.400000000000006"/>
        <n v="68"/>
        <n v="52.9"/>
        <n v="64.599999999999994"/>
        <n v="60.9"/>
        <n v="92.3"/>
        <n v="55.3"/>
        <n v="62.5"/>
        <n v="76.900000000000006"/>
        <n v="63.1"/>
        <n v="63.4"/>
        <n v="38.5"/>
        <n v="76.7"/>
        <n v="55.9"/>
        <n v="74.2"/>
        <s v="Unknown"/>
        <n v="80.099999999999994"/>
        <n v="46.5"/>
        <n v="80"/>
        <n v="61.4"/>
        <n v="64.7"/>
        <n v="79.900000000000006"/>
        <n v="83.4"/>
        <n v="54.4"/>
        <n v="57.7"/>
        <n v="67.400000000000006"/>
        <n v="81.400000000000006"/>
        <n v="70.8"/>
        <n v="84.9"/>
        <n v="64.099999999999994"/>
        <n v="85.7"/>
        <n v="82.8"/>
        <n v="58.6"/>
        <n v="85.2"/>
        <n v="75.7"/>
        <n v="90.9"/>
        <n v="77.3"/>
        <n v="57"/>
        <n v="68.8"/>
        <n v="23.5"/>
        <n v="74.7"/>
        <n v="-1"/>
        <n v="87.2"/>
        <n v="70.400000000000006"/>
        <n v="97.9"/>
        <n v="79"/>
        <n v="65.900000000000006"/>
        <n v="39"/>
        <n v="55.4"/>
        <n v="62"/>
        <n v="60.2"/>
        <n v="47.5"/>
        <n v="56.3"/>
        <n v="41.4"/>
        <n v="89.3"/>
        <n v="52.3"/>
        <n v="37.799999999999997"/>
        <n v="64.2"/>
        <n v="88"/>
        <n v="86.2"/>
        <n v="71.8"/>
        <n v="90.3"/>
        <n v="-10"/>
        <n v="61.3"/>
        <n v="64.8"/>
        <n v="78.2"/>
        <n v="62.8"/>
        <n v="77.2"/>
        <n v="84"/>
        <n v="69.900000000000006"/>
        <n v="55.2"/>
        <n v="30.3"/>
        <n v="82.5"/>
        <n v="59.5"/>
        <n v="74"/>
        <n v="37.200000000000003"/>
        <n v="73.599999999999994"/>
        <n v="58.3"/>
        <n v="44.3"/>
        <n v="77.099999999999994"/>
        <n v="73.8"/>
        <n v="45.6"/>
        <n v="95.1"/>
        <n v="98.7"/>
        <n v="92.7"/>
        <n v="52.1"/>
        <n v="71.099999999999994"/>
        <n v="84.8"/>
        <n v="55.5"/>
        <n v="81.599999999999994"/>
        <n v="99.5"/>
        <n v="67"/>
        <n v="71.3"/>
        <n v="80.7"/>
        <n v="64.400000000000006"/>
        <n v="78.8"/>
        <n v="53.5"/>
        <n v="69.400000000000006"/>
        <n v="62.6"/>
        <n v="79.3"/>
        <n v="52"/>
        <n v="79.8"/>
        <n v="57.2"/>
        <n v="79.2"/>
        <n v="76.400000000000006"/>
        <n v="51.1"/>
        <n v="81.900000000000006"/>
        <n v="62.7"/>
        <n v="74.900000000000006"/>
        <n v="80.599999999999994"/>
        <n v="63.5"/>
        <n v="82.1"/>
        <n v="42.7"/>
        <n v="87.1"/>
        <n v="75.099999999999994"/>
        <n v="99.1"/>
        <n v="61.6"/>
        <n v="92.9"/>
        <n v="70.2"/>
        <n v="78.400000000000006"/>
      </sharedItems>
    </cacheField>
    <cacheField name="Midterm_Score" numFmtId="0">
      <sharedItems containsSemiMixedTypes="0" containsString="0" containsNumber="1" minValue="-2" maxValue="117"/>
    </cacheField>
    <cacheField name="Final_Score" numFmtId="0">
      <sharedItems containsMixedTypes="1" containsNumber="1" minValue="27.5" maxValue="114" count="220">
        <n v="71.543880000000001"/>
        <n v="86.7"/>
        <n v="76.2"/>
        <n v="85.8"/>
        <n v="84.7"/>
        <n v="58"/>
        <n v="46.4"/>
        <n v="35.799999999999997"/>
        <n v="91"/>
        <n v="93.4"/>
        <n v="83.8"/>
        <n v="67"/>
        <n v="54.1"/>
        <n v="69.7"/>
        <n v="85.6"/>
        <n v="72.5"/>
        <n v="57.3"/>
        <n v="69.099999999999994"/>
        <n v="91.8"/>
        <n v="100"/>
        <n v="97.8"/>
        <n v="66.2"/>
        <n v="70.400000000000006"/>
        <n v="68.099999999999994"/>
        <n v="63"/>
        <n v="81"/>
        <n v="87.7"/>
        <n v="69.400000000000006"/>
        <n v="67.7"/>
        <n v="80.099999999999994"/>
        <n v="52.2"/>
        <n v="82.9"/>
        <n v="86.2"/>
        <n v="62.3"/>
        <n v="78.7"/>
        <n v="78.5"/>
        <n v="57.9"/>
        <n v="78.599999999999994"/>
        <n v="68.2"/>
        <n v="66.099999999999994"/>
        <n v="58.1"/>
        <n v="56.6"/>
        <n v="72.7"/>
        <n v="66.599999999999994"/>
        <n v="38.700000000000003"/>
        <n v="47.5"/>
        <n v="86.6"/>
        <n v="58.8"/>
        <n v="63.1"/>
        <n v="89.1"/>
        <n v="80.7"/>
        <n v="87.6"/>
        <n v="50.7"/>
        <s v="Unknown"/>
        <n v="40.799999999999997"/>
        <n v="36.799999999999997"/>
        <n v="75.2"/>
        <n v="85"/>
        <n v="58.2"/>
        <n v="92.9"/>
        <n v="65.599999999999994"/>
        <n v="54.6"/>
        <n v="72.3"/>
        <n v="111"/>
        <n v="83.6"/>
        <n v="85.2"/>
        <n v="87.5"/>
        <n v="36.700000000000003"/>
        <n v="48.2"/>
        <n v="71.2"/>
        <n v="46.8"/>
        <n v="31.9"/>
        <n v="99"/>
        <n v="33.700000000000003"/>
        <n v="74.599999999999994"/>
        <n v="68.5"/>
        <n v="66.5"/>
        <n v="76.599999999999994"/>
        <n v="55.4"/>
        <n v="49.2"/>
        <n v="76.5"/>
        <n v="42.3"/>
        <n v="60.2"/>
        <n v="59.5"/>
        <n v="83.4"/>
        <n v="92.1"/>
        <n v="54.9"/>
        <n v="61"/>
        <n v="62"/>
        <n v="59.1"/>
        <n v="95.3"/>
        <n v="77.2"/>
        <n v="86.1"/>
        <n v="45.5"/>
        <n v="93.6"/>
        <n v="89.8"/>
        <n v="80.400000000000006"/>
        <n v="69.8"/>
        <n v="71.3"/>
        <n v="114"/>
        <n v="74.400000000000006"/>
        <n v="75.3"/>
        <n v="56.2"/>
        <n v="87.1"/>
        <n v="51.8"/>
        <n v="74.7"/>
        <n v="54.4"/>
        <n v="74.5"/>
        <n v="62.6"/>
        <n v="50.6"/>
        <n v="76"/>
        <n v="69.3"/>
        <n v="37.6"/>
        <n v="60"/>
        <n v="77.400000000000006"/>
        <n v="82.6"/>
        <n v="60.3"/>
        <n v="87.8"/>
        <n v="89.4"/>
        <n v="94.9"/>
        <n v="59.3"/>
        <n v="45.8"/>
        <n v="68.599999999999994"/>
        <n v="83.7"/>
        <n v="80.3"/>
        <n v="74.2"/>
        <n v="64.099999999999994"/>
        <n v="72"/>
        <n v="61.9"/>
        <n v="39.200000000000003"/>
        <n v="57.1"/>
        <n v="77.599999999999994"/>
        <n v="85.7"/>
        <n v="85.3"/>
        <n v="80.8"/>
        <n v="88.9"/>
        <n v="71"/>
        <n v="76.400000000000006"/>
        <n v="85.4"/>
        <n v="75.599999999999994"/>
        <n v="46"/>
        <n v="27.5"/>
        <n v="37.200000000000003"/>
        <n v="49"/>
        <n v="93"/>
        <n v="98"/>
        <n v="49.6"/>
        <n v="51.5"/>
        <n v="53"/>
        <n v="83"/>
        <n v="55.7"/>
        <n v="73.2"/>
        <n v="70.2"/>
        <n v="60.8"/>
        <n v="62.7"/>
        <n v="93.3"/>
        <n v="55.9"/>
        <n v="60.7"/>
        <n v="67.400000000000006"/>
        <n v="81.400000000000006"/>
        <n v="64.599999999999994"/>
        <n v="68"/>
        <n v="53.3"/>
        <n v="37.4"/>
        <n v="82.8"/>
        <n v="65"/>
        <n v="89.9"/>
        <n v="50.1"/>
        <n v="70.599999999999994"/>
        <n v="84.2"/>
        <n v="49.8"/>
        <n v="62.2"/>
        <n v="89"/>
        <n v="52.5"/>
        <n v="96.1"/>
        <n v="75.7"/>
        <n v="79"/>
        <n v="95.9"/>
        <n v="99.8"/>
        <n v="70.7"/>
        <n v="91.3"/>
        <n v="80"/>
        <n v="62.9"/>
        <n v="84.6"/>
        <n v="82.7"/>
        <n v="61.4"/>
        <n v="78"/>
        <n v="67.599999999999994"/>
        <n v="50.9"/>
        <n v="76.099999999999994"/>
        <n v="66.8"/>
        <n v="49.9"/>
        <n v="56"/>
        <n v="92.2"/>
        <n v="79.3"/>
        <n v="98.2"/>
        <n v="46.5"/>
        <n v="65.2"/>
        <n v="90.8"/>
        <n v="64.2"/>
        <n v="60.4"/>
        <n v="49.5"/>
        <n v="98.9"/>
        <n v="91.7"/>
        <n v="65.900000000000006"/>
        <n v="88.2"/>
        <n v="34.4"/>
        <n v="74.099999999999994"/>
        <n v="86.8"/>
        <n v="78.8"/>
        <n v="94.1"/>
        <n v="97.7"/>
        <n v="41.7"/>
        <n v="58.9"/>
        <n v="77.5"/>
        <n v="35.700000000000003"/>
        <n v="42"/>
        <n v="67.8"/>
        <n v="73.599999999999994"/>
        <n v="90.6"/>
      </sharedItems>
    </cacheField>
    <cacheField name="Academic_Status" numFmtId="0">
      <sharedItems count="5">
        <s v="At Risk"/>
        <s v="Good Standing"/>
        <s v="Unknown"/>
        <s v="AR"/>
        <s v="-"/>
      </sharedItems>
    </cacheField>
  </cacheFields>
  <extLst>
    <ext xmlns:x14="http://schemas.microsoft.com/office/spreadsheetml/2009/9/main" uri="{725AE2AE-9491-48be-B2B4-4EB974FC3084}">
      <x14:pivotCacheDefinition pivotCacheId="1041305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STD0229"/>
    <x v="0"/>
    <n v="58.7"/>
    <n v="69.8"/>
    <x v="0"/>
    <n v="71.543880000000001"/>
    <x v="0"/>
  </r>
  <r>
    <s v="STD0112"/>
    <x v="1"/>
    <n v="55.6"/>
    <n v="93.7"/>
    <x v="1"/>
    <n v="86.7"/>
    <x v="0"/>
  </r>
  <r>
    <s v="STD0272"/>
    <x v="0"/>
    <n v="95.4"/>
    <n v="53.1"/>
    <x v="0"/>
    <n v="76.2"/>
    <x v="1"/>
  </r>
  <r>
    <s v="STD0055"/>
    <x v="2"/>
    <n v="86.7"/>
    <n v="72.400000000000006"/>
    <x v="2"/>
    <n v="85.8"/>
    <x v="1"/>
  </r>
  <r>
    <s v="STD0045"/>
    <x v="3"/>
    <n v="87.6"/>
    <n v="91.8"/>
    <x v="0"/>
    <n v="84.7"/>
    <x v="1"/>
  </r>
  <r>
    <s v="STD0097"/>
    <x v="1"/>
    <n v="74.099999999999994"/>
    <n v="96"/>
    <x v="0"/>
    <n v="58"/>
    <x v="1"/>
  </r>
  <r>
    <s v="STD0284"/>
    <x v="4"/>
    <n v="73.400000000000006"/>
    <n v="77.7"/>
    <x v="3"/>
    <n v="46.4"/>
    <x v="1"/>
  </r>
  <r>
    <s v="STD0261"/>
    <x v="0"/>
    <n v="58.7"/>
    <n v="51.3"/>
    <x v="4"/>
    <n v="35.799999999999997"/>
    <x v="0"/>
  </r>
  <r>
    <s v="STD0160"/>
    <x v="3"/>
    <n v="77.900000000000006"/>
    <n v="65.8"/>
    <x v="5"/>
    <n v="91"/>
    <x v="1"/>
  </r>
  <r>
    <s v="STD0096"/>
    <x v="4"/>
    <n v="100"/>
    <n v="71.5"/>
    <x v="6"/>
    <n v="93.4"/>
    <x v="1"/>
  </r>
  <r>
    <s v="STD0214"/>
    <x v="0"/>
    <n v="96.1"/>
    <s v="-"/>
    <x v="0"/>
    <n v="83.8"/>
    <x v="1"/>
  </r>
  <r>
    <s v="STD0249"/>
    <x v="4"/>
    <n v="83.9"/>
    <n v="49.6"/>
    <x v="7"/>
    <n v="67"/>
    <x v="1"/>
  </r>
  <r>
    <s v="STD0279"/>
    <x v="5"/>
    <n v="98.6"/>
    <n v="73.3"/>
    <x v="8"/>
    <n v="54.1"/>
    <x v="1"/>
  </r>
  <r>
    <s v="STD0213"/>
    <x v="3"/>
    <n v="58.7"/>
    <n v="88.4"/>
    <x v="9"/>
    <n v="85.8"/>
    <x v="1"/>
  </r>
  <r>
    <s v="STD0215"/>
    <x v="1"/>
    <n v="73.099999999999994"/>
    <n v="58.5"/>
    <x v="10"/>
    <n v="69.7"/>
    <x v="1"/>
  </r>
  <r>
    <s v="STD0236"/>
    <x v="4"/>
    <n v="100"/>
    <n v="43.6"/>
    <x v="11"/>
    <n v="85.6"/>
    <x v="1"/>
  </r>
  <r>
    <s v="STD0253"/>
    <x v="6"/>
    <n v="83.4"/>
    <n v="52.8"/>
    <x v="12"/>
    <n v="72.5"/>
    <x v="1"/>
  </r>
  <r>
    <s v="STD0053"/>
    <x v="4"/>
    <n v="91.7"/>
    <n v="78.3"/>
    <x v="0"/>
    <n v="57.3"/>
    <x v="1"/>
  </r>
  <r>
    <s v="STD0009"/>
    <x v="6"/>
    <n v="58.7"/>
    <n v="91"/>
    <x v="13"/>
    <n v="69.099999999999994"/>
    <x v="1"/>
  </r>
  <r>
    <s v="STD0057"/>
    <x v="3"/>
    <n v="83.9"/>
    <n v="96.6"/>
    <x v="14"/>
    <n v="91.8"/>
    <x v="1"/>
  </r>
  <r>
    <s v="STD0259"/>
    <x v="4"/>
    <n v="84.4"/>
    <n v="82"/>
    <x v="15"/>
    <n v="100"/>
    <x v="1"/>
  </r>
  <r>
    <s v="STD0289"/>
    <x v="4"/>
    <n v="63.2"/>
    <n v="51.3"/>
    <x v="16"/>
    <n v="97.8"/>
    <x v="0"/>
  </r>
  <r>
    <s v="STD0188"/>
    <x v="1"/>
    <n v="88.4"/>
    <n v="67.599999999999994"/>
    <x v="17"/>
    <n v="66.2"/>
    <x v="1"/>
  </r>
  <r>
    <s v="STD0269"/>
    <x v="1"/>
    <n v="79.7"/>
    <n v="91.4"/>
    <x v="18"/>
    <n v="70.400000000000006"/>
    <x v="1"/>
  </r>
  <r>
    <s v="unknow"/>
    <x v="4"/>
    <n v="80.900000000000006"/>
    <n v="100"/>
    <x v="19"/>
    <n v="100"/>
    <x v="1"/>
  </r>
  <r>
    <s v="STD0147"/>
    <x v="3"/>
    <n v="85.5"/>
    <n v="64.3"/>
    <x v="20"/>
    <n v="68.099999999999994"/>
    <x v="1"/>
  </r>
  <r>
    <s v="STD0276"/>
    <x v="3"/>
    <n v="58.7"/>
    <n v="60.8"/>
    <x v="21"/>
    <n v="63"/>
    <x v="1"/>
  </r>
  <r>
    <s v="STD0101"/>
    <x v="3"/>
    <n v="48.8"/>
    <n v="69.3"/>
    <x v="22"/>
    <n v="81"/>
    <x v="2"/>
  </r>
  <r>
    <s v="STD0291"/>
    <x v="4"/>
    <n v="69.400000000000006"/>
    <n v="56.1"/>
    <x v="23"/>
    <n v="71.543880000000001"/>
    <x v="0"/>
  </r>
  <r>
    <s v="STD0133"/>
    <x v="1"/>
    <n v="62.8"/>
    <n v="80.3"/>
    <x v="24"/>
    <n v="87.7"/>
    <x v="0"/>
  </r>
  <r>
    <s v="STD0171"/>
    <x v="2"/>
    <n v="84.5"/>
    <n v="100"/>
    <x v="25"/>
    <n v="69.400000000000006"/>
    <x v="1"/>
  </r>
  <r>
    <s v="STD0016"/>
    <x v="1"/>
    <n v="76.2"/>
    <n v="66.900000000000006"/>
    <x v="26"/>
    <n v="71.543880000000001"/>
    <x v="1"/>
  </r>
  <r>
    <s v="STD0242"/>
    <x v="0"/>
    <n v="65.7"/>
    <n v="100"/>
    <x v="27"/>
    <n v="84.7"/>
    <x v="0"/>
  </r>
  <r>
    <s v="STD0041"/>
    <x v="2"/>
    <n v="58.7"/>
    <n v="72.2"/>
    <x v="28"/>
    <n v="67.7"/>
    <x v="1"/>
  </r>
  <r>
    <s v="STD0282"/>
    <x v="3"/>
    <n v="95"/>
    <n v="95.2"/>
    <x v="29"/>
    <n v="80.099999999999994"/>
    <x v="1"/>
  </r>
  <r>
    <s v="STD0088"/>
    <x v="6"/>
    <n v="68.900000000000006"/>
    <n v="86"/>
    <x v="30"/>
    <n v="52.2"/>
    <x v="0"/>
  </r>
  <r>
    <s v="STD0186"/>
    <x v="0"/>
    <n v="63.3"/>
    <n v="89.2"/>
    <x v="31"/>
    <n v="82.9"/>
    <x v="0"/>
  </r>
  <r>
    <s v="STD0187"/>
    <x v="0"/>
    <n v="82.1"/>
    <n v="74.099999999999994"/>
    <x v="32"/>
    <n v="86.2"/>
    <x v="1"/>
  </r>
  <r>
    <s v="STD0020"/>
    <x v="0"/>
    <n v="94.8"/>
    <n v="79.099999999999994"/>
    <x v="33"/>
    <n v="62.3"/>
    <x v="1"/>
  </r>
  <r>
    <s v="STD0113"/>
    <x v="3"/>
    <n v="83.8"/>
    <n v="72.2"/>
    <x v="34"/>
    <n v="71.543880000000001"/>
    <x v="0"/>
  </r>
  <r>
    <s v="STD0093"/>
    <x v="1"/>
    <n v="95.6"/>
    <n v="53.2"/>
    <x v="0"/>
    <n v="78.7"/>
    <x v="1"/>
  </r>
  <r>
    <s v="STD0114"/>
    <x v="6"/>
    <n v="97.7"/>
    <n v="82.3"/>
    <x v="35"/>
    <n v="78.5"/>
    <x v="1"/>
  </r>
  <r>
    <s v="STD0118"/>
    <x v="1"/>
    <n v="96.3"/>
    <n v="70.900000000000006"/>
    <x v="0"/>
    <n v="57.9"/>
    <x v="1"/>
  </r>
  <r>
    <s v="STD0040"/>
    <x v="5"/>
    <n v="100"/>
    <n v="50.8"/>
    <x v="36"/>
    <n v="78.599999999999994"/>
    <x v="1"/>
  </r>
  <r>
    <s v="STD0286"/>
    <x v="2"/>
    <n v="82.1"/>
    <n v="62.9"/>
    <x v="37"/>
    <n v="68.2"/>
    <x v="1"/>
  </r>
  <r>
    <s v="STD0224"/>
    <x v="3"/>
    <n v="97.1"/>
    <n v="78"/>
    <x v="38"/>
    <n v="66.099999999999994"/>
    <x v="1"/>
  </r>
  <r>
    <s v="STD0091"/>
    <x v="2"/>
    <n v="98.1"/>
    <n v="65"/>
    <x v="39"/>
    <n v="58.1"/>
    <x v="1"/>
  </r>
  <r>
    <s v="STD0185"/>
    <x v="5"/>
    <n v="86.4"/>
    <n v="86.8"/>
    <x v="40"/>
    <n v="56.6"/>
    <x v="1"/>
  </r>
  <r>
    <s v="STD0212"/>
    <x v="6"/>
    <n v="75.8"/>
    <n v="70.599999999999994"/>
    <x v="41"/>
    <n v="72.7"/>
    <x v="1"/>
  </r>
  <r>
    <s v="STD0210"/>
    <x v="1"/>
    <n v="77.3"/>
    <n v="67.5"/>
    <x v="42"/>
    <n v="66.599999999999994"/>
    <x v="1"/>
  </r>
  <r>
    <s v="STD0281"/>
    <x v="4"/>
    <n v="94.1"/>
    <n v="86.7"/>
    <x v="43"/>
    <n v="38.700000000000003"/>
    <x v="1"/>
  </r>
  <r>
    <s v="STD0027"/>
    <x v="4"/>
    <n v="58.7"/>
    <n v="72.5"/>
    <x v="44"/>
    <n v="47.5"/>
    <x v="1"/>
  </r>
  <r>
    <s v="STD0199"/>
    <x v="3"/>
    <n v="89.2"/>
    <n v="65.2"/>
    <x v="45"/>
    <n v="71.543880000000001"/>
    <x v="1"/>
  </r>
  <r>
    <s v="STD0039"/>
    <x v="4"/>
    <n v="83.3"/>
    <n v="79.099999999999994"/>
    <x v="46"/>
    <n v="86.6"/>
    <x v="1"/>
  </r>
  <r>
    <s v="STD0050"/>
    <x v="0"/>
    <n v="74"/>
    <n v="49"/>
    <x v="47"/>
    <n v="58.8"/>
    <x v="1"/>
  </r>
  <r>
    <s v="STD0135"/>
    <x v="3"/>
    <n v="86.9"/>
    <n v="77.400000000000006"/>
    <x v="48"/>
    <n v="63.1"/>
    <x v="1"/>
  </r>
  <r>
    <s v="STD0018"/>
    <x v="1"/>
    <n v="84.4"/>
    <n v="85.3"/>
    <x v="49"/>
    <n v="100"/>
    <x v="1"/>
  </r>
  <r>
    <s v="STD0034"/>
    <x v="4"/>
    <n v="96.5"/>
    <n v="78.099999999999994"/>
    <x v="50"/>
    <n v="89.1"/>
    <x v="1"/>
  </r>
  <r>
    <s v="unknow"/>
    <x v="6"/>
    <n v="90.7"/>
    <n v="55"/>
    <x v="51"/>
    <n v="80.7"/>
    <x v="1"/>
  </r>
  <r>
    <s v="STD0066"/>
    <x v="0"/>
    <n v="82.7"/>
    <n v="63.9"/>
    <x v="52"/>
    <n v="87.6"/>
    <x v="1"/>
  </r>
  <r>
    <s v="STD0086"/>
    <x v="1"/>
    <n v="76.599999999999994"/>
    <n v="45.1"/>
    <x v="53"/>
    <n v="50.7"/>
    <x v="0"/>
  </r>
  <r>
    <s v="unknow"/>
    <x v="6"/>
    <n v="87.6"/>
    <n v="93.9"/>
    <x v="54"/>
    <s v="Unknown"/>
    <x v="1"/>
  </r>
  <r>
    <s v="STD0193"/>
    <x v="1"/>
    <n v="85.8"/>
    <n v="87.9"/>
    <x v="55"/>
    <n v="40.799999999999997"/>
    <x v="0"/>
  </r>
  <r>
    <s v="STD0081"/>
    <x v="4"/>
    <n v="84.6"/>
    <n v="80.5"/>
    <x v="56"/>
    <n v="36.799999999999997"/>
    <x v="0"/>
  </r>
  <r>
    <s v="STD0052"/>
    <x v="6"/>
    <n v="76"/>
    <n v="82.2"/>
    <x v="57"/>
    <n v="75.2"/>
    <x v="1"/>
  </r>
  <r>
    <s v="STD0201"/>
    <x v="1"/>
    <n v="96.6"/>
    <n v="68.900000000000006"/>
    <x v="58"/>
    <n v="85"/>
    <x v="1"/>
  </r>
  <r>
    <s v="STD0275"/>
    <x v="2"/>
    <n v="80.7"/>
    <n v="99.4"/>
    <x v="59"/>
    <n v="58.2"/>
    <x v="1"/>
  </r>
  <r>
    <s v="STD0005"/>
    <x v="2"/>
    <n v="86.4"/>
    <n v="53.2"/>
    <x v="60"/>
    <n v="92.9"/>
    <x v="1"/>
  </r>
  <r>
    <s v="STD0134"/>
    <x v="2"/>
    <n v="63.9"/>
    <n v="100"/>
    <x v="61"/>
    <n v="65.599999999999994"/>
    <x v="0"/>
  </r>
  <r>
    <s v="STD0138"/>
    <x v="3"/>
    <n v="86.7"/>
    <n v="69.8"/>
    <x v="62"/>
    <n v="54.6"/>
    <x v="1"/>
  </r>
  <r>
    <s v="STD0098"/>
    <x v="1"/>
    <n v="80.7"/>
    <n v="100"/>
    <x v="0"/>
    <n v="72.3"/>
    <x v="1"/>
  </r>
  <r>
    <s v="STD0197"/>
    <x v="6"/>
    <n v="91.1"/>
    <n v="74.8"/>
    <x v="63"/>
    <n v="63.1"/>
    <x v="1"/>
  </r>
  <r>
    <s v="STD0056"/>
    <x v="5"/>
    <n v="88.7"/>
    <n v="85.3"/>
    <x v="5"/>
    <n v="69.400000000000006"/>
    <x v="1"/>
  </r>
  <r>
    <s v="STD0108"/>
    <x v="4"/>
    <n v="74.7"/>
    <n v="51.5"/>
    <x v="64"/>
    <n v="111"/>
    <x v="1"/>
  </r>
  <r>
    <s v="STD0168"/>
    <x v="6"/>
    <n v="58.7"/>
    <n v="75.3"/>
    <x v="0"/>
    <n v="83.6"/>
    <x v="1"/>
  </r>
  <r>
    <s v="STD0148"/>
    <x v="3"/>
    <n v="82.5"/>
    <n v="60.3"/>
    <x v="65"/>
    <n v="85.2"/>
    <x v="0"/>
  </r>
  <r>
    <s v="STD0285"/>
    <x v="2"/>
    <n v="91.5"/>
    <n v="75.8"/>
    <x v="66"/>
    <n v="87.5"/>
    <x v="1"/>
  </r>
  <r>
    <s v="STD0002"/>
    <x v="1"/>
    <n v="92.4"/>
    <n v="69.099999999999994"/>
    <x v="28"/>
    <n v="36.700000000000003"/>
    <x v="1"/>
  </r>
  <r>
    <s v="STD0157"/>
    <x v="1"/>
    <n v="78.8"/>
    <n v="69.8"/>
    <x v="67"/>
    <n v="48.2"/>
    <x v="1"/>
  </r>
  <r>
    <s v="STD0217"/>
    <x v="2"/>
    <n v="90.5"/>
    <n v="69.8"/>
    <x v="68"/>
    <n v="71.2"/>
    <x v="1"/>
  </r>
  <r>
    <s v="STD0221"/>
    <x v="2"/>
    <n v="88"/>
    <n v="94.1"/>
    <x v="69"/>
    <n v="46.8"/>
    <x v="1"/>
  </r>
  <r>
    <s v="STD0205"/>
    <x v="3"/>
    <n v="72.8"/>
    <n v="81.3"/>
    <x v="63"/>
    <n v="31.9"/>
    <x v="0"/>
  </r>
  <r>
    <s v="STD0084"/>
    <x v="1"/>
    <n v="90.8"/>
    <n v="72.7"/>
    <x v="70"/>
    <n v="99"/>
    <x v="1"/>
  </r>
  <r>
    <s v="STD0082"/>
    <x v="6"/>
    <n v="58.7"/>
    <n v="67.3"/>
    <x v="71"/>
    <n v="33.700000000000003"/>
    <x v="0"/>
  </r>
  <r>
    <s v="STD0146"/>
    <x v="1"/>
    <n v="67"/>
    <n v="87.7"/>
    <x v="72"/>
    <n v="74.599999999999994"/>
    <x v="0"/>
  </r>
  <r>
    <s v="STD0069"/>
    <x v="1"/>
    <n v="78.3"/>
    <n v="86.8"/>
    <x v="73"/>
    <n v="68.5"/>
    <x v="2"/>
  </r>
  <r>
    <s v="STD0119"/>
    <x v="5"/>
    <n v="83.8"/>
    <n v="72.900000000000006"/>
    <x v="74"/>
    <n v="66.5"/>
    <x v="1"/>
  </r>
  <r>
    <s v="STD0032"/>
    <x v="1"/>
    <n v="65.400000000000006"/>
    <n v="51.2"/>
    <x v="75"/>
    <n v="76.599999999999994"/>
    <x v="0"/>
  </r>
  <r>
    <s v="unknow"/>
    <x v="3"/>
    <n v="70.099999999999994"/>
    <n v="75.900000000000006"/>
    <x v="76"/>
    <n v="55.4"/>
    <x v="1"/>
  </r>
  <r>
    <s v="STD0090"/>
    <x v="0"/>
    <n v="57.3"/>
    <n v="84.6"/>
    <x v="77"/>
    <n v="49.2"/>
    <x v="0"/>
  </r>
  <r>
    <s v="STD0072"/>
    <x v="2"/>
    <n v="68.599999999999994"/>
    <n v="41.9"/>
    <x v="78"/>
    <n v="52.2"/>
    <x v="2"/>
  </r>
  <r>
    <s v="STD0049"/>
    <x v="4"/>
    <n v="59"/>
    <n v="60.4"/>
    <x v="79"/>
    <n v="71.543880000000001"/>
    <x v="0"/>
  </r>
  <r>
    <s v="STD0191"/>
    <x v="7"/>
    <n v="58.7"/>
    <n v="58.7"/>
    <x v="80"/>
    <n v="76.5"/>
    <x v="1"/>
  </r>
  <r>
    <s v="STD0287"/>
    <x v="1"/>
    <n v="87.1"/>
    <n v="77.400000000000006"/>
    <x v="81"/>
    <n v="42.3"/>
    <x v="1"/>
  </r>
  <r>
    <s v="STD0127"/>
    <x v="4"/>
    <n v="88.4"/>
    <n v="41"/>
    <x v="82"/>
    <n v="60.2"/>
    <x v="0"/>
  </r>
  <r>
    <s v="STD0181"/>
    <x v="6"/>
    <n v="72.099999999999994"/>
    <n v="61.7"/>
    <x v="0"/>
    <n v="59.5"/>
    <x v="1"/>
  </r>
  <r>
    <s v="STD0216"/>
    <x v="3"/>
    <n v="84.1"/>
    <n v="79.599999999999994"/>
    <x v="83"/>
    <n v="83.4"/>
    <x v="2"/>
  </r>
  <r>
    <s v="STD0233"/>
    <x v="1"/>
    <n v="70.900000000000006"/>
    <n v="76.099999999999994"/>
    <x v="84"/>
    <n v="92.1"/>
    <x v="1"/>
  </r>
  <r>
    <s v="STD0105"/>
    <x v="2"/>
    <n v="99.9"/>
    <n v="70.900000000000006"/>
    <x v="41"/>
    <n v="54.9"/>
    <x v="1"/>
  </r>
  <r>
    <s v="STD0078"/>
    <x v="4"/>
    <n v="95.3"/>
    <n v="70.3"/>
    <x v="85"/>
    <n v="61"/>
    <x v="1"/>
  </r>
  <r>
    <s v="STD0180"/>
    <x v="4"/>
    <n v="81.900000000000006"/>
    <n v="67.3"/>
    <x v="39"/>
    <n v="62"/>
    <x v="2"/>
  </r>
  <r>
    <s v="STD0116"/>
    <x v="2"/>
    <n v="70"/>
    <n v="53.4"/>
    <x v="86"/>
    <n v="59.1"/>
    <x v="1"/>
  </r>
  <r>
    <s v="STD0007"/>
    <x v="1"/>
    <n v="100"/>
    <n v="79.7"/>
    <x v="87"/>
    <n v="95.3"/>
    <x v="1"/>
  </r>
  <r>
    <s v="STD0141"/>
    <x v="0"/>
    <n v="92.4"/>
    <n v="50.8"/>
    <x v="88"/>
    <n v="77.2"/>
    <x v="0"/>
  </r>
  <r>
    <s v="STD0260"/>
    <x v="4"/>
    <n v="76.099999999999994"/>
    <n v="77.5"/>
    <x v="89"/>
    <n v="100"/>
    <x v="1"/>
  </r>
  <r>
    <s v="STD0222"/>
    <x v="2"/>
    <n v="83.7"/>
    <n v="71.400000000000006"/>
    <x v="90"/>
    <n v="86.1"/>
    <x v="1"/>
  </r>
  <r>
    <s v="STD0251"/>
    <x v="4"/>
    <n v="87.2"/>
    <n v="68"/>
    <x v="91"/>
    <n v="71.543880000000001"/>
    <x v="1"/>
  </r>
  <r>
    <s v="STD0132"/>
    <x v="3"/>
    <n v="45.5"/>
    <n v="52.9"/>
    <x v="92"/>
    <n v="45.5"/>
    <x v="0"/>
  </r>
  <r>
    <s v="unknow"/>
    <x v="3"/>
    <n v="69.2"/>
    <n v="64.3"/>
    <x v="10"/>
    <n v="93.6"/>
    <x v="0"/>
  </r>
  <r>
    <s v="STD0099"/>
    <x v="6"/>
    <n v="85.5"/>
    <n v="64.599999999999994"/>
    <x v="93"/>
    <n v="89.8"/>
    <x v="1"/>
  </r>
  <r>
    <s v="STD0182"/>
    <x v="0"/>
    <n v="74.2"/>
    <n v="71.400000000000006"/>
    <x v="94"/>
    <n v="80.400000000000006"/>
    <x v="1"/>
  </r>
  <r>
    <s v="STD0227"/>
    <x v="2"/>
    <n v="68.900000000000006"/>
    <n v="60.9"/>
    <x v="0"/>
    <n v="77.2"/>
    <x v="0"/>
  </r>
  <r>
    <s v="STD0121"/>
    <x v="2"/>
    <n v="98.3"/>
    <n v="92.3"/>
    <x v="95"/>
    <n v="69.8"/>
    <x v="1"/>
  </r>
  <r>
    <s v="STD0170"/>
    <x v="1"/>
    <n v="71.8"/>
    <n v="64.599999999999994"/>
    <x v="96"/>
    <n v="71.3"/>
    <x v="1"/>
  </r>
  <r>
    <s v="STD0252"/>
    <x v="0"/>
    <n v="74.900000000000006"/>
    <n v="55.3"/>
    <x v="97"/>
    <n v="114"/>
    <x v="1"/>
  </r>
  <r>
    <s v="STD0228"/>
    <x v="0"/>
    <n v="58.7"/>
    <n v="62.5"/>
    <x v="77"/>
    <n v="80.400000000000006"/>
    <x v="1"/>
  </r>
  <r>
    <s v="STD0080"/>
    <x v="3"/>
    <n v="88.9"/>
    <n v="68.900000000000006"/>
    <x v="98"/>
    <n v="74.400000000000006"/>
    <x v="1"/>
  </r>
  <r>
    <s v="STD0179"/>
    <x v="1"/>
    <n v="60.5"/>
    <n v="69.8"/>
    <x v="12"/>
    <n v="75.3"/>
    <x v="0"/>
  </r>
  <r>
    <s v="STD0274"/>
    <x v="4"/>
    <n v="89.6"/>
    <n v="53.1"/>
    <x v="99"/>
    <n v="71.543880000000001"/>
    <x v="1"/>
  </r>
  <r>
    <s v="STD0010"/>
    <x v="6"/>
    <n v="73.7"/>
    <n v="76.900000000000006"/>
    <x v="5"/>
    <n v="56.2"/>
    <x v="1"/>
  </r>
  <r>
    <s v="STD0102"/>
    <x v="1"/>
    <n v="91.7"/>
    <n v="63.1"/>
    <x v="100"/>
    <n v="87.1"/>
    <x v="1"/>
  </r>
  <r>
    <s v="STD0021"/>
    <x v="0"/>
    <n v="76.5"/>
    <n v="63.4"/>
    <x v="101"/>
    <n v="51.8"/>
    <x v="0"/>
  </r>
  <r>
    <s v="STD0011"/>
    <x v="3"/>
    <n v="69.400000000000006"/>
    <n v="38.5"/>
    <x v="102"/>
    <n v="74.7"/>
    <x v="0"/>
  </r>
  <r>
    <s v="STD0037"/>
    <x v="5"/>
    <n v="99.4"/>
    <n v="76.7"/>
    <x v="22"/>
    <n v="100"/>
    <x v="1"/>
  </r>
  <r>
    <s v="unknow"/>
    <x v="2"/>
    <n v="79.099999999999994"/>
    <n v="55.9"/>
    <x v="81"/>
    <n v="85.2"/>
    <x v="1"/>
  </r>
  <r>
    <s v="STD0013"/>
    <x v="4"/>
    <n v="96.8"/>
    <n v="74.2"/>
    <x v="103"/>
    <n v="54.4"/>
    <x v="1"/>
  </r>
  <r>
    <s v="STD0025"/>
    <x v="4"/>
    <n v="65.2"/>
    <s v="Unknown"/>
    <x v="54"/>
    <n v="91"/>
    <x v="0"/>
  </r>
  <r>
    <s v="STD0076"/>
    <x v="4"/>
    <n v="82.7"/>
    <n v="69.8"/>
    <x v="67"/>
    <n v="74.5"/>
    <x v="1"/>
  </r>
  <r>
    <s v="STD0111"/>
    <x v="4"/>
    <n v="66.3"/>
    <n v="80.099999999999994"/>
    <x v="104"/>
    <n v="71.543880000000001"/>
    <x v="0"/>
  </r>
  <r>
    <s v="STD0256"/>
    <x v="3"/>
    <n v="81.400000000000006"/>
    <n v="46.5"/>
    <x v="105"/>
    <n v="62.6"/>
    <x v="0"/>
  </r>
  <r>
    <s v="STD0071"/>
    <x v="3"/>
    <n v="88.6"/>
    <n v="77.400000000000006"/>
    <x v="106"/>
    <n v="50.6"/>
    <x v="1"/>
  </r>
  <r>
    <s v="STD0022"/>
    <x v="0"/>
    <n v="41.3"/>
    <n v="80"/>
    <x v="107"/>
    <n v="68.5"/>
    <x v="0"/>
  </r>
  <r>
    <s v="STD0268"/>
    <x v="4"/>
    <n v="85.4"/>
    <n v="61.4"/>
    <x v="37"/>
    <n v="76"/>
    <x v="1"/>
  </r>
  <r>
    <s v="STD0077"/>
    <x v="1"/>
    <n v="58.7"/>
    <n v="64.7"/>
    <x v="108"/>
    <n v="69.3"/>
    <x v="1"/>
  </r>
  <r>
    <s v="unknow"/>
    <x v="1"/>
    <n v="66.8"/>
    <n v="79.900000000000006"/>
    <x v="109"/>
    <n v="37.6"/>
    <x v="0"/>
  </r>
  <r>
    <s v="STD0123"/>
    <x v="1"/>
    <n v="97.2"/>
    <n v="91.4"/>
    <x v="110"/>
    <n v="60"/>
    <x v="1"/>
  </r>
  <r>
    <s v="STD0131"/>
    <x v="1"/>
    <n v="100"/>
    <n v="83.4"/>
    <x v="33"/>
    <n v="77.400000000000006"/>
    <x v="1"/>
  </r>
  <r>
    <s v="STD0035"/>
    <x v="1"/>
    <n v="78"/>
    <n v="54.4"/>
    <x v="111"/>
    <n v="82.6"/>
    <x v="1"/>
  </r>
  <r>
    <s v="STD0176"/>
    <x v="5"/>
    <n v="92.2"/>
    <n v="79.7"/>
    <x v="112"/>
    <n v="60.3"/>
    <x v="1"/>
  </r>
  <r>
    <s v="STD0254"/>
    <x v="2"/>
    <n v="86"/>
    <n v="57.7"/>
    <x v="30"/>
    <n v="87.8"/>
    <x v="1"/>
  </r>
  <r>
    <s v="STD0270"/>
    <x v="5"/>
    <n v="100"/>
    <n v="67.400000000000006"/>
    <x v="113"/>
    <n v="89.4"/>
    <x v="1"/>
  </r>
  <r>
    <s v="STD0201"/>
    <x v="1"/>
    <n v="96.6"/>
    <n v="69.8"/>
    <x v="58"/>
    <n v="85"/>
    <x v="1"/>
  </r>
  <r>
    <s v="STD0203"/>
    <x v="2"/>
    <n v="98.5"/>
    <n v="60.9"/>
    <x v="114"/>
    <n v="94.9"/>
    <x v="1"/>
  </r>
  <r>
    <s v="STD0030"/>
    <x v="3"/>
    <n v="83.4"/>
    <n v="81.400000000000006"/>
    <x v="115"/>
    <n v="59.3"/>
    <x v="2"/>
  </r>
  <r>
    <s v="STD0267"/>
    <x v="5"/>
    <n v="93.2"/>
    <n v="70.8"/>
    <x v="116"/>
    <n v="45.8"/>
    <x v="0"/>
  </r>
  <r>
    <s v="STD0051"/>
    <x v="1"/>
    <n v="65"/>
    <n v="84.9"/>
    <x v="117"/>
    <n v="89.8"/>
    <x v="0"/>
  </r>
  <r>
    <s v="STD0008"/>
    <x v="2"/>
    <n v="100"/>
    <n v="64.099999999999994"/>
    <x v="118"/>
    <n v="68.599999999999994"/>
    <x v="1"/>
  </r>
  <r>
    <s v="STD0046"/>
    <x v="0"/>
    <n v="94"/>
    <n v="85.7"/>
    <x v="119"/>
    <n v="83.7"/>
    <x v="1"/>
  </r>
  <r>
    <s v="STD0004"/>
    <x v="4"/>
    <n v="58.7"/>
    <n v="82.8"/>
    <x v="1"/>
    <n v="80.3"/>
    <x v="1"/>
  </r>
  <r>
    <s v="STD0045"/>
    <x v="3"/>
    <n v="87.6"/>
    <n v="91.8"/>
    <x v="120"/>
    <n v="84.7"/>
    <x v="1"/>
  </r>
  <r>
    <s v="STD0218"/>
    <x v="3"/>
    <n v="75.400000000000006"/>
    <n v="58.6"/>
    <x v="121"/>
    <n v="74.2"/>
    <x v="1"/>
  </r>
  <r>
    <s v="STD0206"/>
    <x v="3"/>
    <n v="74.900000000000006"/>
    <n v="85.2"/>
    <x v="0"/>
    <n v="64.099999999999994"/>
    <x v="1"/>
  </r>
  <r>
    <s v="STD0143"/>
    <x v="3"/>
    <n v="61.5"/>
    <n v="75.7"/>
    <x v="122"/>
    <n v="72"/>
    <x v="0"/>
  </r>
  <r>
    <s v="unknow"/>
    <x v="6"/>
    <n v="77.2"/>
    <n v="90.9"/>
    <x v="123"/>
    <n v="61.9"/>
    <x v="1"/>
  </r>
  <r>
    <s v="STD0144"/>
    <x v="6"/>
    <n v="90.6"/>
    <n v="60.9"/>
    <x v="124"/>
    <n v="39.200000000000003"/>
    <x v="0"/>
  </r>
  <r>
    <s v="STD0255"/>
    <x v="4"/>
    <n v="83.1"/>
    <n v="77.3"/>
    <x v="46"/>
    <n v="57.1"/>
    <x v="1"/>
  </r>
  <r>
    <s v="STD0074"/>
    <x v="5"/>
    <n v="68.5"/>
    <n v="57"/>
    <x v="125"/>
    <n v="77.599999999999994"/>
    <x v="2"/>
  </r>
  <r>
    <s v="STD0158"/>
    <x v="8"/>
    <n v="78.3"/>
    <n v="57"/>
    <x v="126"/>
    <n v="85.7"/>
    <x v="1"/>
  </r>
  <r>
    <s v="unknow"/>
    <x v="4"/>
    <n v="82"/>
    <n v="68.8"/>
    <x v="127"/>
    <n v="85.3"/>
    <x v="1"/>
  </r>
  <r>
    <s v="STD0024"/>
    <x v="2"/>
    <n v="73.400000000000006"/>
    <n v="23.5"/>
    <x v="128"/>
    <n v="80.8"/>
    <x v="0"/>
  </r>
  <r>
    <s v="STD0273"/>
    <x v="0"/>
    <n v="90"/>
    <n v="74.7"/>
    <x v="107"/>
    <n v="87.7"/>
    <x v="1"/>
  </r>
  <r>
    <s v="STD0132"/>
    <x v="3"/>
    <n v="45.5"/>
    <n v="-1"/>
    <x v="92"/>
    <n v="45.5"/>
    <x v="0"/>
  </r>
  <r>
    <s v="STD0042"/>
    <x v="3"/>
    <n v="90"/>
    <n v="87.2"/>
    <x v="0"/>
    <n v="88.9"/>
    <x v="1"/>
  </r>
  <r>
    <s v="STD0154"/>
    <x v="3"/>
    <n v="74"/>
    <n v="60.3"/>
    <x v="129"/>
    <n v="71"/>
    <x v="1"/>
  </r>
  <r>
    <s v="STD0126"/>
    <x v="1"/>
    <n v="-5"/>
    <n v="70.400000000000006"/>
    <x v="130"/>
    <n v="76.400000000000006"/>
    <x v="0"/>
  </r>
  <r>
    <s v="STD0271"/>
    <x v="1"/>
    <n v="91.4"/>
    <n v="82"/>
    <x v="131"/>
    <n v="85.4"/>
    <x v="1"/>
  </r>
  <r>
    <s v="STD0184"/>
    <x v="0"/>
    <n v="57"/>
    <n v="86"/>
    <x v="132"/>
    <n v="75.599999999999994"/>
    <x v="0"/>
  </r>
  <r>
    <s v="STD0246"/>
    <x v="4"/>
    <n v="77.900000000000006"/>
    <n v="97.9"/>
    <x v="133"/>
    <n v="46"/>
    <x v="1"/>
  </r>
  <r>
    <s v="unknow"/>
    <x v="1"/>
    <n v="100"/>
    <n v="65.8"/>
    <x v="11"/>
    <n v="67.7"/>
    <x v="1"/>
  </r>
  <r>
    <s v="STD0058"/>
    <x v="0"/>
    <n v="100"/>
    <n v="75.7"/>
    <x v="38"/>
    <n v="75.2"/>
    <x v="1"/>
  </r>
  <r>
    <s v="STD0194"/>
    <x v="2"/>
    <n v="93.3"/>
    <n v="79"/>
    <x v="134"/>
    <n v="27.5"/>
    <x v="1"/>
  </r>
  <r>
    <s v="STD0258"/>
    <x v="4"/>
    <n v="93.5"/>
    <n v="65.900000000000006"/>
    <x v="20"/>
    <n v="37.200000000000003"/>
    <x v="2"/>
  </r>
  <r>
    <s v="STD0044"/>
    <x v="6"/>
    <n v="79.099999999999994"/>
    <n v="39"/>
    <x v="135"/>
    <n v="71.2"/>
    <x v="0"/>
  </r>
  <r>
    <s v="STD0208"/>
    <x v="3"/>
    <n v="70"/>
    <n v="55.4"/>
    <x v="136"/>
    <n v="68.5"/>
    <x v="1"/>
  </r>
  <r>
    <s v="STD0023"/>
    <x v="4"/>
    <n v="70.7"/>
    <n v="62"/>
    <x v="137"/>
    <n v="49"/>
    <x v="1"/>
  </r>
  <r>
    <s v="STD0278"/>
    <x v="4"/>
    <n v="77.599999999999994"/>
    <n v="60.2"/>
    <x v="138"/>
    <n v="71.543880000000001"/>
    <x v="1"/>
  </r>
  <r>
    <s v="STD0089"/>
    <x v="3"/>
    <n v="57.2"/>
    <n v="69.8"/>
    <x v="52"/>
    <n v="93"/>
    <x v="0"/>
  </r>
  <r>
    <s v="STD0110"/>
    <x v="0"/>
    <n v="85"/>
    <n v="47.5"/>
    <x v="139"/>
    <n v="98"/>
    <x v="1"/>
  </r>
  <r>
    <s v="STD0070"/>
    <x v="6"/>
    <n v="71.900000000000006"/>
    <n v="56.3"/>
    <x v="140"/>
    <n v="75.599999999999994"/>
    <x v="0"/>
  </r>
  <r>
    <s v="unknow"/>
    <x v="1"/>
    <n v="74.599999999999994"/>
    <n v="65.900000000000006"/>
    <x v="141"/>
    <n v="49.6"/>
    <x v="1"/>
  </r>
  <r>
    <s v="STD0094"/>
    <x v="4"/>
    <n v="83.3"/>
    <n v="41.4"/>
    <x v="142"/>
    <n v="51.5"/>
    <x v="0"/>
  </r>
  <r>
    <s v="STD0153"/>
    <x v="1"/>
    <n v="65"/>
    <n v="89.3"/>
    <x v="67"/>
    <n v="53"/>
    <x v="0"/>
  </r>
  <r>
    <s v="STD0137"/>
    <x v="3"/>
    <n v="70.7"/>
    <n v="52.3"/>
    <x v="130"/>
    <n v="83"/>
    <x v="1"/>
  </r>
  <r>
    <s v="STD0177"/>
    <x v="9"/>
    <n v="59.4"/>
    <n v="69.8"/>
    <x v="123"/>
    <n v="55.7"/>
    <x v="3"/>
  </r>
  <r>
    <s v="STD0213"/>
    <x v="5"/>
    <n v="85.8"/>
    <n v="88.4"/>
    <x v="9"/>
    <n v="85.8"/>
    <x v="1"/>
  </r>
  <r>
    <s v="STD0163"/>
    <x v="1"/>
    <n v="88.8"/>
    <n v="83.4"/>
    <x v="143"/>
    <n v="73.2"/>
    <x v="1"/>
  </r>
  <r>
    <s v="STD0124"/>
    <x v="0"/>
    <n v="55.2"/>
    <n v="37.799999999999997"/>
    <x v="144"/>
    <n v="71.2"/>
    <x v="0"/>
  </r>
  <r>
    <s v="STD0245"/>
    <x v="1"/>
    <n v="62.9"/>
    <n v="64.2"/>
    <x v="145"/>
    <n v="100"/>
    <x v="0"/>
  </r>
  <r>
    <s v="STD0083"/>
    <x v="4"/>
    <n v="86.2"/>
    <n v="88"/>
    <x v="146"/>
    <n v="70.2"/>
    <x v="2"/>
  </r>
  <r>
    <s v="STD0095"/>
    <x v="0"/>
    <n v="84.8"/>
    <n v="86.2"/>
    <x v="147"/>
    <n v="60.8"/>
    <x v="1"/>
  </r>
  <r>
    <s v="STD0006"/>
    <x v="4"/>
    <n v="85.1"/>
    <n v="67.5"/>
    <x v="148"/>
    <n v="64.099999999999994"/>
    <x v="1"/>
  </r>
  <r>
    <s v="unknow"/>
    <x v="3"/>
    <n v="67.8"/>
    <n v="71.8"/>
    <x v="149"/>
    <n v="100"/>
    <x v="0"/>
  </r>
  <r>
    <s v="STD0196"/>
    <x v="0"/>
    <n v="80.3"/>
    <n v="90.3"/>
    <x v="150"/>
    <n v="74.599999999999994"/>
    <x v="1"/>
  </r>
  <r>
    <s v="STD0136"/>
    <x v="4"/>
    <n v="71.7"/>
    <n v="83.4"/>
    <x v="10"/>
    <n v="89.8"/>
    <x v="1"/>
  </r>
  <r>
    <s v="STD0166"/>
    <x v="5"/>
    <n v="76.2"/>
    <n v="-10"/>
    <x v="151"/>
    <n v="62.7"/>
    <x v="0"/>
  </r>
  <r>
    <s v="STD0109"/>
    <x v="2"/>
    <n v="94.2"/>
    <n v="67.599999999999994"/>
    <x v="152"/>
    <n v="93.3"/>
    <x v="1"/>
  </r>
  <r>
    <s v="STD0266"/>
    <x v="3"/>
    <n v="58.7"/>
    <n v="61.3"/>
    <x v="153"/>
    <n v="55.9"/>
    <x v="0"/>
  </r>
  <r>
    <s v="STD0239"/>
    <x v="4"/>
    <n v="92.8"/>
    <n v="64.8"/>
    <x v="0"/>
    <n v="60.7"/>
    <x v="1"/>
  </r>
  <r>
    <s v="STD0165"/>
    <x v="4"/>
    <n v="85.1"/>
    <n v="78.2"/>
    <x v="154"/>
    <n v="67.400000000000006"/>
    <x v="1"/>
  </r>
  <r>
    <s v="STD0250"/>
    <x v="3"/>
    <n v="72.900000000000006"/>
    <n v="62.8"/>
    <x v="155"/>
    <n v="81.400000000000006"/>
    <x v="1"/>
  </r>
  <r>
    <s v="STD0120"/>
    <x v="0"/>
    <n v="80"/>
    <n v="69.8"/>
    <x v="156"/>
    <n v="64.599999999999994"/>
    <x v="1"/>
  </r>
  <r>
    <s v="STD0237"/>
    <x v="1"/>
    <n v="84.9"/>
    <n v="77.2"/>
    <x v="23"/>
    <n v="68"/>
    <x v="2"/>
  </r>
  <r>
    <s v="STD0059"/>
    <x v="3"/>
    <n v="88.7"/>
    <n v="84"/>
    <x v="0"/>
    <n v="53.3"/>
    <x v="1"/>
  </r>
  <r>
    <s v="STD0100"/>
    <x v="3"/>
    <n v="89.8"/>
    <n v="62.5"/>
    <x v="119"/>
    <n v="37.4"/>
    <x v="0"/>
  </r>
  <r>
    <s v="STD0234"/>
    <x v="3"/>
    <n v="68.900000000000006"/>
    <n v="85.3"/>
    <x v="157"/>
    <n v="71"/>
    <x v="0"/>
  </r>
  <r>
    <s v="STD0225"/>
    <x v="3"/>
    <n v="91.4"/>
    <n v="69.900000000000006"/>
    <x v="54"/>
    <n v="82.8"/>
    <x v="1"/>
  </r>
  <r>
    <s v="STD0063"/>
    <x v="0"/>
    <n v="93.7"/>
    <n v="74.099999999999994"/>
    <x v="158"/>
    <n v="65"/>
    <x v="1"/>
  </r>
  <r>
    <s v="STD0288"/>
    <x v="6"/>
    <n v="-4"/>
    <n v="69.8"/>
    <x v="123"/>
    <n v="61.9"/>
    <x v="1"/>
  </r>
  <r>
    <s v="STD0062"/>
    <x v="4"/>
    <n v="82.7"/>
    <n v="88"/>
    <x v="10"/>
    <n v="89.9"/>
    <x v="1"/>
  </r>
  <r>
    <s v="STD0036"/>
    <x v="3"/>
    <n v="91.8"/>
    <n v="65.900000000000006"/>
    <x v="159"/>
    <n v="71.543880000000001"/>
    <x v="1"/>
  </r>
  <r>
    <s v="STD0028"/>
    <x v="3"/>
    <n v="97.9"/>
    <n v="55.2"/>
    <x v="160"/>
    <n v="50.1"/>
    <x v="1"/>
  </r>
  <r>
    <s v="STD0262"/>
    <x v="6"/>
    <n v="75.599999999999994"/>
    <n v="30.3"/>
    <x v="161"/>
    <n v="70.599999999999994"/>
    <x v="0"/>
  </r>
  <r>
    <s v="STD0115"/>
    <x v="4"/>
    <n v="90.5"/>
    <n v="82.5"/>
    <x v="162"/>
    <n v="84.2"/>
    <x v="1"/>
  </r>
  <r>
    <s v="STD0106"/>
    <x v="0"/>
    <n v="86.6"/>
    <n v="59.5"/>
    <x v="163"/>
    <n v="49.8"/>
    <x v="0"/>
  </r>
  <r>
    <s v="STD0001"/>
    <x v="2"/>
    <n v="81.599999999999994"/>
    <n v="74"/>
    <x v="164"/>
    <n v="62.2"/>
    <x v="1"/>
  </r>
  <r>
    <s v="STD0243"/>
    <x v="0"/>
    <n v="75.599999999999994"/>
    <n v="37.200000000000003"/>
    <x v="13"/>
    <n v="71.543880000000001"/>
    <x v="0"/>
  </r>
  <r>
    <s v="STD0162"/>
    <x v="5"/>
    <n v="93.7"/>
    <n v="73.599999999999994"/>
    <x v="165"/>
    <n v="89"/>
    <x v="1"/>
  </r>
  <r>
    <s v="STD0122"/>
    <x v="6"/>
    <n v="93.4"/>
    <n v="58.3"/>
    <x v="166"/>
    <n v="52.5"/>
    <x v="1"/>
  </r>
  <r>
    <s v="STD0161"/>
    <x v="4"/>
    <n v="90.1"/>
    <n v="69.8"/>
    <x v="5"/>
    <n v="96.1"/>
    <x v="1"/>
  </r>
  <r>
    <s v="STD0073"/>
    <x v="1"/>
    <n v="83.5"/>
    <n v="44.3"/>
    <x v="79"/>
    <n v="75.7"/>
    <x v="1"/>
  </r>
  <r>
    <s v="STD0012"/>
    <x v="5"/>
    <n v="100"/>
    <n v="77.099999999999994"/>
    <x v="167"/>
    <n v="79"/>
    <x v="1"/>
  </r>
  <r>
    <s v="STD0248"/>
    <x v="3"/>
    <n v="78.599999999999994"/>
    <n v="73.8"/>
    <x v="168"/>
    <n v="95.9"/>
    <x v="1"/>
  </r>
  <r>
    <s v="STD0202"/>
    <x v="4"/>
    <n v="79.099999999999994"/>
    <n v="45.6"/>
    <x v="169"/>
    <n v="76.5"/>
    <x v="2"/>
  </r>
  <r>
    <s v="STD0149"/>
    <x v="4"/>
    <n v="69.400000000000006"/>
    <n v="95.1"/>
    <x v="98"/>
    <n v="88.9"/>
    <x v="0"/>
  </r>
  <r>
    <s v="STD0219"/>
    <x v="6"/>
    <n v="83.3"/>
    <n v="98.7"/>
    <x v="170"/>
    <n v="71.543880000000001"/>
    <x v="1"/>
  </r>
  <r>
    <s v="STD0240"/>
    <x v="1"/>
    <n v="99.5"/>
    <n v="92.7"/>
    <x v="171"/>
    <n v="81.400000000000006"/>
    <x v="1"/>
  </r>
  <r>
    <s v="STD0104"/>
    <x v="1"/>
    <n v="92"/>
    <n v="52.1"/>
    <x v="172"/>
    <n v="99.8"/>
    <x v="1"/>
  </r>
  <r>
    <s v="STD0178"/>
    <x v="3"/>
    <n v="77.7"/>
    <n v="69.8"/>
    <x v="173"/>
    <n v="70.7"/>
    <x v="1"/>
  </r>
  <r>
    <s v="STD0198"/>
    <x v="3"/>
    <n v="72.2"/>
    <n v="71.099999999999994"/>
    <x v="174"/>
    <n v="76.5"/>
    <x v="1"/>
  </r>
  <r>
    <s v="STD0263"/>
    <x v="5"/>
    <n v="82"/>
    <n v="84.8"/>
    <x v="175"/>
    <n v="91.3"/>
    <x v="1"/>
  </r>
  <r>
    <s v="STD0290"/>
    <x v="3"/>
    <n v="88.3"/>
    <n v="72.400000000000006"/>
    <x v="176"/>
    <n v="71.543880000000001"/>
    <x v="1"/>
  </r>
  <r>
    <s v="STD0017"/>
    <x v="5"/>
    <n v="82.5"/>
    <n v="69.099999999999994"/>
    <x v="43"/>
    <n v="55.4"/>
    <x v="1"/>
  </r>
  <r>
    <s v="STD0192"/>
    <x v="3"/>
    <n v="72.3"/>
    <n v="55.5"/>
    <x v="177"/>
    <n v="80"/>
    <x v="1"/>
  </r>
  <r>
    <s v="STD0087"/>
    <x v="2"/>
    <n v="67.900000000000006"/>
    <n v="55.5"/>
    <x v="178"/>
    <n v="62.9"/>
    <x v="0"/>
  </r>
  <r>
    <s v="STD0129"/>
    <x v="6"/>
    <n v="67.3"/>
    <n v="81.599999999999994"/>
    <x v="179"/>
    <n v="84.6"/>
    <x v="0"/>
  </r>
  <r>
    <s v="STD0264"/>
    <x v="2"/>
    <n v="95"/>
    <n v="99.5"/>
    <x v="180"/>
    <n v="82.7"/>
    <x v="1"/>
  </r>
  <r>
    <s v="STD0230"/>
    <x v="1"/>
    <n v="80.400000000000006"/>
    <n v="89.3"/>
    <x v="181"/>
    <n v="61.4"/>
    <x v="1"/>
  </r>
  <r>
    <s v="STD0075"/>
    <x v="1"/>
    <n v="73.2"/>
    <n v="67"/>
    <x v="182"/>
    <n v="78"/>
    <x v="1"/>
  </r>
  <r>
    <s v="STD0085"/>
    <x v="3"/>
    <n v="80.7"/>
    <n v="71.3"/>
    <x v="5"/>
    <n v="67.599999999999994"/>
    <x v="1"/>
  </r>
  <r>
    <s v="STD0139"/>
    <x v="0"/>
    <n v="84.9"/>
    <n v="80.7"/>
    <x v="0"/>
    <n v="49.2"/>
    <x v="1"/>
  </r>
  <r>
    <s v="unknow"/>
    <x v="2"/>
    <n v="79.5"/>
    <n v="64.400000000000006"/>
    <x v="183"/>
    <n v="50.9"/>
    <x v="0"/>
  </r>
  <r>
    <s v="STD0277"/>
    <x v="4"/>
    <n v="79.5"/>
    <n v="82"/>
    <x v="184"/>
    <n v="71.543880000000001"/>
    <x v="1"/>
  </r>
  <r>
    <s v="STD0029"/>
    <x v="4"/>
    <n v="69.599999999999994"/>
    <n v="69.099999999999994"/>
    <x v="185"/>
    <n v="76.099999999999994"/>
    <x v="0"/>
  </r>
  <r>
    <s v="STD0280"/>
    <x v="4"/>
    <n v="100"/>
    <n v="78.8"/>
    <x v="186"/>
    <n v="66.8"/>
    <x v="1"/>
  </r>
  <r>
    <s v="STD0167"/>
    <x v="4"/>
    <n v="93.2"/>
    <n v="53.5"/>
    <x v="27"/>
    <n v="49.9"/>
    <x v="0"/>
  </r>
  <r>
    <s v="STD0207"/>
    <x v="4"/>
    <n v="96.2"/>
    <n v="64.2"/>
    <x v="187"/>
    <n v="56"/>
    <x v="1"/>
  </r>
  <r>
    <s v="STD0223"/>
    <x v="1"/>
    <n v="77.8"/>
    <n v="69.8"/>
    <x v="75"/>
    <n v="83.6"/>
    <x v="1"/>
  </r>
  <r>
    <s v="STD0174"/>
    <x v="4"/>
    <n v="70.400000000000006"/>
    <n v="69.099999999999994"/>
    <x v="188"/>
    <n v="77.400000000000006"/>
    <x v="1"/>
  </r>
  <r>
    <s v="STD0151"/>
    <x v="3"/>
    <n v="71.8"/>
    <n v="100"/>
    <x v="189"/>
    <n v="92.2"/>
    <x v="1"/>
  </r>
  <r>
    <s v="STD0175"/>
    <x v="1"/>
    <n v="82.5"/>
    <n v="87.7"/>
    <x v="190"/>
    <n v="71.543880000000001"/>
    <x v="1"/>
  </r>
  <r>
    <s v="STD0189"/>
    <x v="6"/>
    <n v="76"/>
    <n v="69.400000000000006"/>
    <x v="115"/>
    <n v="49.2"/>
    <x v="1"/>
  </r>
  <r>
    <s v="STD0103"/>
    <x v="1"/>
    <n v="67.2"/>
    <n v="100"/>
    <x v="191"/>
    <n v="71.543880000000001"/>
    <x v="0"/>
  </r>
  <r>
    <s v="STD0200"/>
    <x v="1"/>
    <n v="97.4"/>
    <n v="78.3"/>
    <x v="192"/>
    <n v="66.2"/>
    <x v="1"/>
  </r>
  <r>
    <s v="STD0257"/>
    <x v="4"/>
    <n v="79.900000000000006"/>
    <n v="62.6"/>
    <x v="0"/>
    <n v="62.3"/>
    <x v="1"/>
  </r>
  <r>
    <s v="STD0190"/>
    <x v="1"/>
    <n v="92.5"/>
    <n v="79.3"/>
    <x v="193"/>
    <n v="79.3"/>
    <x v="1"/>
  </r>
  <r>
    <s v="STD0232"/>
    <x v="2"/>
    <n v="77.2"/>
    <n v="91.8"/>
    <x v="194"/>
    <n v="98.2"/>
    <x v="1"/>
  </r>
  <r>
    <s v="STD0068"/>
    <x v="2"/>
    <n v="58.7"/>
    <n v="60.2"/>
    <x v="59"/>
    <n v="46.5"/>
    <x v="0"/>
  </r>
  <r>
    <s v="STD0079"/>
    <x v="6"/>
    <n v="73.599999999999994"/>
    <n v="84.8"/>
    <x v="111"/>
    <n v="65.2"/>
    <x v="1"/>
  </r>
  <r>
    <s v="STD0142"/>
    <x v="0"/>
    <n v="58.7"/>
    <n v="52"/>
    <x v="195"/>
    <n v="90.8"/>
    <x v="1"/>
  </r>
  <r>
    <s v="STD0015"/>
    <x v="4"/>
    <n v="84.6"/>
    <n v="79.8"/>
    <x v="5"/>
    <n v="64.2"/>
    <x v="1"/>
  </r>
  <r>
    <s v="STD0128"/>
    <x v="1"/>
    <n v="82.6"/>
    <n v="57.2"/>
    <x v="196"/>
    <n v="60.4"/>
    <x v="0"/>
  </r>
  <r>
    <s v="STD0125"/>
    <x v="2"/>
    <n v="83.8"/>
    <n v="79.2"/>
    <x v="197"/>
    <n v="49.5"/>
    <x v="0"/>
  </r>
  <r>
    <s v="STD0204"/>
    <x v="0"/>
    <n v="75.2"/>
    <n v="76.400000000000006"/>
    <x v="0"/>
    <n v="98.9"/>
    <x v="1"/>
  </r>
  <r>
    <s v="STD0156"/>
    <x v="1"/>
    <n v="75.8"/>
    <n v="69.8"/>
    <x v="5"/>
    <n v="91.7"/>
    <x v="1"/>
  </r>
  <r>
    <s v="STD0172"/>
    <x v="1"/>
    <n v="94.1"/>
    <n v="55.5"/>
    <x v="192"/>
    <n v="65.900000000000006"/>
    <x v="2"/>
  </r>
  <r>
    <s v="STD0150"/>
    <x v="2"/>
    <n v="69.900000000000006"/>
    <n v="80.7"/>
    <x v="0"/>
    <n v="88.2"/>
    <x v="0"/>
  </r>
  <r>
    <s v="STD0003"/>
    <x v="0"/>
    <n v="71.8"/>
    <n v="78.2"/>
    <x v="46"/>
    <n v="58"/>
    <x v="1"/>
  </r>
  <r>
    <s v="STD0283"/>
    <x v="3"/>
    <n v="69.900000000000006"/>
    <n v="79.7"/>
    <x v="87"/>
    <n v="59.3"/>
    <x v="2"/>
  </r>
  <r>
    <s v="STD0238"/>
    <x v="0"/>
    <n v="77.2"/>
    <n v="51.1"/>
    <x v="81"/>
    <n v="83.6"/>
    <x v="1"/>
  </r>
  <r>
    <s v="STD0195"/>
    <x v="0"/>
    <n v="81.599999999999994"/>
    <n v="52.8"/>
    <x v="198"/>
    <n v="93"/>
    <x v="1"/>
  </r>
  <r>
    <s v="STD0220"/>
    <x v="1"/>
    <n v="74.3"/>
    <n v="81.900000000000006"/>
    <x v="199"/>
    <n v="34.4"/>
    <x v="1"/>
  </r>
  <r>
    <s v="STD0235"/>
    <x v="0"/>
    <n v="92.7"/>
    <n v="62.7"/>
    <x v="200"/>
    <n v="74.099999999999994"/>
    <x v="1"/>
  </r>
  <r>
    <s v="STD0159"/>
    <x v="4"/>
    <n v="77.3"/>
    <n v="74.900000000000006"/>
    <x v="201"/>
    <n v="62.2"/>
    <x v="1"/>
  </r>
  <r>
    <s v="STD0211"/>
    <x v="1"/>
    <n v="90"/>
    <n v="61.3"/>
    <x v="202"/>
    <n v="86.8"/>
    <x v="1"/>
  </r>
  <r>
    <s v="STD0292"/>
    <x v="3"/>
    <n v="100"/>
    <n v="69.8"/>
    <x v="203"/>
    <n v="78.8"/>
    <x v="1"/>
  </r>
  <r>
    <s v="STD0038"/>
    <x v="2"/>
    <n v="85.2"/>
    <n v="76.099999999999994"/>
    <x v="204"/>
    <n v="94.1"/>
    <x v="1"/>
  </r>
  <r>
    <s v="STD0117"/>
    <x v="0"/>
    <n v="69.900000000000006"/>
    <n v="80.599999999999994"/>
    <x v="205"/>
    <n v="97.7"/>
    <x v="2"/>
  </r>
  <r>
    <s v="STD0145"/>
    <x v="0"/>
    <n v="60.8"/>
    <n v="77.400000000000006"/>
    <x v="67"/>
    <n v="41.7"/>
    <x v="2"/>
  </r>
  <r>
    <s v="STD0014"/>
    <x v="4"/>
    <n v="82.6"/>
    <n v="68"/>
    <x v="206"/>
    <n v="58.9"/>
    <x v="1"/>
  </r>
  <r>
    <s v="STD0155"/>
    <x v="0"/>
    <n v="84.5"/>
    <n v="63.5"/>
    <x v="207"/>
    <n v="85.4"/>
    <x v="1"/>
  </r>
  <r>
    <s v="STD0061"/>
    <x v="0"/>
    <n v="62.8"/>
    <n v="82.1"/>
    <x v="208"/>
    <n v="68.599999999999994"/>
    <x v="0"/>
  </r>
  <r>
    <s v="STD0152"/>
    <x v="2"/>
    <n v="70.7"/>
    <n v="70.3"/>
    <x v="209"/>
    <n v="77.599999999999994"/>
    <x v="1"/>
  </r>
  <r>
    <s v="STD0244"/>
    <x v="1"/>
    <n v="79.8"/>
    <n v="42.7"/>
    <x v="210"/>
    <n v="75.2"/>
    <x v="4"/>
  </r>
  <r>
    <s v="STD0265"/>
    <x v="3"/>
    <n v="70.900000000000006"/>
    <n v="87.1"/>
    <x v="194"/>
    <n v="100"/>
    <x v="1"/>
  </r>
  <r>
    <s v="STD0048"/>
    <x v="3"/>
    <n v="72.900000000000006"/>
    <n v="67.599999999999994"/>
    <x v="211"/>
    <n v="77.5"/>
    <x v="1"/>
  </r>
  <r>
    <s v="unknow"/>
    <x v="3"/>
    <n v="87.8"/>
    <n v="75.099999999999994"/>
    <x v="212"/>
    <n v="80.099999999999994"/>
    <x v="1"/>
  </r>
  <r>
    <s v="STD0130"/>
    <x v="1"/>
    <n v="66.5"/>
    <n v="99.1"/>
    <x v="213"/>
    <n v="35.700000000000003"/>
    <x v="0"/>
  </r>
  <r>
    <s v="unknow"/>
    <x v="4"/>
    <n v="76.099999999999994"/>
    <n v="49"/>
    <x v="214"/>
    <n v="42"/>
    <x v="0"/>
  </r>
  <r>
    <s v="STD0140"/>
    <x v="3"/>
    <n v="84.2"/>
    <n v="61.6"/>
    <x v="5"/>
    <n v="77.5"/>
    <x v="1"/>
  </r>
  <r>
    <s v="STD0169"/>
    <x v="2"/>
    <n v="58.5"/>
    <n v="88"/>
    <x v="215"/>
    <n v="54.1"/>
    <x v="2"/>
  </r>
  <r>
    <s v="STD0043"/>
    <x v="0"/>
    <n v="100"/>
    <n v="69.8"/>
    <x v="216"/>
    <n v="67.8"/>
    <x v="1"/>
  </r>
  <r>
    <s v="STD0231"/>
    <x v="3"/>
    <n v="65.3"/>
    <n v="92.9"/>
    <x v="217"/>
    <n v="68.2"/>
    <x v="0"/>
  </r>
  <r>
    <s v="STD0065"/>
    <x v="2"/>
    <n v="93.4"/>
    <n v="70.2"/>
    <x v="218"/>
    <n v="91.8"/>
    <x v="1"/>
  </r>
  <r>
    <s v="STD0033"/>
    <x v="4"/>
    <n v="89.2"/>
    <n v="100"/>
    <x v="180"/>
    <n v="73.599999999999994"/>
    <x v="1"/>
  </r>
  <r>
    <s v="STD0092"/>
    <x v="5"/>
    <n v="61.9"/>
    <n v="78.400000000000006"/>
    <x v="219"/>
    <n v="90.6"/>
    <x v="0"/>
  </r>
  <r>
    <s v="STD0173"/>
    <x v="2"/>
    <n v="63.5"/>
    <n v="76.400000000000006"/>
    <x v="16"/>
    <n v="71.543880000000001"/>
    <x v="0"/>
  </r>
  <r>
    <s v="STD0067"/>
    <x v="4"/>
    <n v="88.7"/>
    <n v="69.8"/>
    <x v="220"/>
    <n v="63.1"/>
    <x v="1"/>
  </r>
  <r>
    <m/>
    <x v="10"/>
    <m/>
    <m/>
    <x v="221"/>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
  <r>
    <x v="0"/>
    <x v="0"/>
    <x v="0"/>
    <x v="0"/>
    <n v="49.5"/>
    <x v="0"/>
    <x v="0"/>
  </r>
  <r>
    <x v="1"/>
    <x v="1"/>
    <x v="1"/>
    <x v="1"/>
    <n v="52.4"/>
    <x v="1"/>
    <x v="0"/>
  </r>
  <r>
    <x v="2"/>
    <x v="0"/>
    <x v="2"/>
    <x v="2"/>
    <n v="49.5"/>
    <x v="2"/>
    <x v="1"/>
  </r>
  <r>
    <x v="3"/>
    <x v="2"/>
    <x v="3"/>
    <x v="3"/>
    <n v="71"/>
    <x v="3"/>
    <x v="1"/>
  </r>
  <r>
    <x v="4"/>
    <x v="3"/>
    <x v="4"/>
    <x v="4"/>
    <n v="49.5"/>
    <x v="4"/>
    <x v="1"/>
  </r>
  <r>
    <x v="5"/>
    <x v="1"/>
    <x v="5"/>
    <x v="5"/>
    <n v="49.5"/>
    <x v="5"/>
    <x v="1"/>
  </r>
  <r>
    <x v="6"/>
    <x v="4"/>
    <x v="6"/>
    <x v="6"/>
    <n v="89.4"/>
    <x v="6"/>
    <x v="1"/>
  </r>
  <r>
    <x v="7"/>
    <x v="0"/>
    <x v="0"/>
    <x v="7"/>
    <n v="75.599999999999994"/>
    <x v="7"/>
    <x v="0"/>
  </r>
  <r>
    <x v="8"/>
    <x v="3"/>
    <x v="7"/>
    <x v="8"/>
    <n v="100"/>
    <x v="8"/>
    <x v="1"/>
  </r>
  <r>
    <x v="9"/>
    <x v="4"/>
    <x v="8"/>
    <x v="9"/>
    <n v="94.5"/>
    <x v="9"/>
    <x v="1"/>
  </r>
  <r>
    <x v="10"/>
    <x v="0"/>
    <x v="9"/>
    <x v="10"/>
    <n v="49.5"/>
    <x v="10"/>
    <x v="1"/>
  </r>
  <r>
    <x v="11"/>
    <x v="4"/>
    <x v="10"/>
    <x v="11"/>
    <n v="86.8"/>
    <x v="11"/>
    <x v="1"/>
  </r>
  <r>
    <x v="12"/>
    <x v="5"/>
    <x v="11"/>
    <x v="12"/>
    <n v="83"/>
    <x v="12"/>
    <x v="1"/>
  </r>
  <r>
    <x v="13"/>
    <x v="3"/>
    <x v="0"/>
    <x v="13"/>
    <n v="58.4"/>
    <x v="3"/>
    <x v="1"/>
  </r>
  <r>
    <x v="14"/>
    <x v="1"/>
    <x v="12"/>
    <x v="14"/>
    <n v="66.099999999999994"/>
    <x v="13"/>
    <x v="1"/>
  </r>
  <r>
    <x v="15"/>
    <x v="4"/>
    <x v="8"/>
    <x v="15"/>
    <n v="79"/>
    <x v="14"/>
    <x v="1"/>
  </r>
  <r>
    <x v="16"/>
    <x v="6"/>
    <x v="13"/>
    <x v="16"/>
    <n v="78.099999999999994"/>
    <x v="15"/>
    <x v="1"/>
  </r>
  <r>
    <x v="17"/>
    <x v="4"/>
    <x v="14"/>
    <x v="17"/>
    <n v="49.5"/>
    <x v="16"/>
    <x v="1"/>
  </r>
  <r>
    <x v="18"/>
    <x v="6"/>
    <x v="0"/>
    <x v="18"/>
    <n v="68"/>
    <x v="17"/>
    <x v="1"/>
  </r>
  <r>
    <x v="19"/>
    <x v="3"/>
    <x v="10"/>
    <x v="19"/>
    <n v="-2"/>
    <x v="18"/>
    <x v="1"/>
  </r>
  <r>
    <x v="20"/>
    <x v="4"/>
    <x v="15"/>
    <x v="20"/>
    <n v="85.2"/>
    <x v="19"/>
    <x v="1"/>
  </r>
  <r>
    <x v="21"/>
    <x v="4"/>
    <x v="16"/>
    <x v="7"/>
    <n v="88.6"/>
    <x v="20"/>
    <x v="0"/>
  </r>
  <r>
    <x v="22"/>
    <x v="1"/>
    <x v="17"/>
    <x v="21"/>
    <n v="56"/>
    <x v="21"/>
    <x v="1"/>
  </r>
  <r>
    <x v="23"/>
    <x v="1"/>
    <x v="18"/>
    <x v="22"/>
    <n v="91.7"/>
    <x v="22"/>
    <x v="1"/>
  </r>
  <r>
    <x v="24"/>
    <x v="4"/>
    <x v="19"/>
    <x v="23"/>
    <n v="52"/>
    <x v="19"/>
    <x v="1"/>
  </r>
  <r>
    <x v="25"/>
    <x v="3"/>
    <x v="20"/>
    <x v="24"/>
    <n v="81.8"/>
    <x v="23"/>
    <x v="1"/>
  </r>
  <r>
    <x v="26"/>
    <x v="3"/>
    <x v="0"/>
    <x v="25"/>
    <n v="79.5"/>
    <x v="24"/>
    <x v="1"/>
  </r>
  <r>
    <x v="27"/>
    <x v="3"/>
    <x v="21"/>
    <x v="26"/>
    <n v="83.2"/>
    <x v="25"/>
    <x v="2"/>
  </r>
  <r>
    <x v="28"/>
    <x v="4"/>
    <x v="22"/>
    <x v="27"/>
    <n v="81.400000000000006"/>
    <x v="0"/>
    <x v="0"/>
  </r>
  <r>
    <x v="29"/>
    <x v="1"/>
    <x v="23"/>
    <x v="28"/>
    <n v="81.099999999999994"/>
    <x v="26"/>
    <x v="0"/>
  </r>
  <r>
    <x v="30"/>
    <x v="2"/>
    <x v="24"/>
    <x v="23"/>
    <n v="51.9"/>
    <x v="27"/>
    <x v="1"/>
  </r>
  <r>
    <x v="31"/>
    <x v="1"/>
    <x v="25"/>
    <x v="29"/>
    <n v="72.900000000000006"/>
    <x v="0"/>
    <x v="1"/>
  </r>
  <r>
    <x v="32"/>
    <x v="0"/>
    <x v="26"/>
    <x v="23"/>
    <n v="72.2"/>
    <x v="4"/>
    <x v="0"/>
  </r>
  <r>
    <x v="33"/>
    <x v="2"/>
    <x v="0"/>
    <x v="30"/>
    <n v="75.7"/>
    <x v="28"/>
    <x v="1"/>
  </r>
  <r>
    <x v="34"/>
    <x v="3"/>
    <x v="27"/>
    <x v="31"/>
    <n v="67"/>
    <x v="29"/>
    <x v="1"/>
  </r>
  <r>
    <x v="35"/>
    <x v="6"/>
    <x v="28"/>
    <x v="32"/>
    <n v="59.3"/>
    <x v="30"/>
    <x v="0"/>
  </r>
  <r>
    <x v="36"/>
    <x v="0"/>
    <x v="29"/>
    <x v="33"/>
    <n v="95.1"/>
    <x v="31"/>
    <x v="0"/>
  </r>
  <r>
    <x v="37"/>
    <x v="0"/>
    <x v="30"/>
    <x v="34"/>
    <n v="96.2"/>
    <x v="32"/>
    <x v="1"/>
  </r>
  <r>
    <x v="38"/>
    <x v="0"/>
    <x v="31"/>
    <x v="35"/>
    <n v="78.5"/>
    <x v="33"/>
    <x v="1"/>
  </r>
  <r>
    <x v="39"/>
    <x v="3"/>
    <x v="32"/>
    <x v="30"/>
    <n v="44.1"/>
    <x v="0"/>
    <x v="0"/>
  </r>
  <r>
    <x v="40"/>
    <x v="1"/>
    <x v="33"/>
    <x v="36"/>
    <n v="49.5"/>
    <x v="34"/>
    <x v="1"/>
  </r>
  <r>
    <x v="41"/>
    <x v="6"/>
    <x v="34"/>
    <x v="37"/>
    <n v="42.3"/>
    <x v="35"/>
    <x v="1"/>
  </r>
  <r>
    <x v="42"/>
    <x v="1"/>
    <x v="35"/>
    <x v="38"/>
    <n v="49.5"/>
    <x v="36"/>
    <x v="1"/>
  </r>
  <r>
    <x v="43"/>
    <x v="5"/>
    <x v="8"/>
    <x v="39"/>
    <n v="59.7"/>
    <x v="37"/>
    <x v="1"/>
  </r>
  <r>
    <x v="44"/>
    <x v="2"/>
    <x v="30"/>
    <x v="40"/>
    <n v="77.900000000000006"/>
    <x v="38"/>
    <x v="1"/>
  </r>
  <r>
    <x v="45"/>
    <x v="3"/>
    <x v="36"/>
    <x v="41"/>
    <n v="66"/>
    <x v="39"/>
    <x v="1"/>
  </r>
  <r>
    <x v="46"/>
    <x v="2"/>
    <x v="37"/>
    <x v="42"/>
    <n v="78.3"/>
    <x v="40"/>
    <x v="1"/>
  </r>
  <r>
    <x v="47"/>
    <x v="5"/>
    <x v="38"/>
    <x v="43"/>
    <n v="58.9"/>
    <x v="41"/>
    <x v="1"/>
  </r>
  <r>
    <x v="48"/>
    <x v="6"/>
    <x v="39"/>
    <x v="44"/>
    <n v="85.9"/>
    <x v="42"/>
    <x v="1"/>
  </r>
  <r>
    <x v="49"/>
    <x v="1"/>
    <x v="40"/>
    <x v="45"/>
    <n v="48.8"/>
    <x v="43"/>
    <x v="1"/>
  </r>
  <r>
    <x v="50"/>
    <x v="4"/>
    <x v="41"/>
    <x v="46"/>
    <n v="61"/>
    <x v="44"/>
    <x v="1"/>
  </r>
  <r>
    <x v="51"/>
    <x v="4"/>
    <x v="0"/>
    <x v="47"/>
    <n v="72.7"/>
    <x v="45"/>
    <x v="1"/>
  </r>
  <r>
    <x v="52"/>
    <x v="3"/>
    <x v="42"/>
    <x v="48"/>
    <n v="43.5"/>
    <x v="0"/>
    <x v="1"/>
  </r>
  <r>
    <x v="53"/>
    <x v="4"/>
    <x v="43"/>
    <x v="35"/>
    <n v="78.400000000000006"/>
    <x v="46"/>
    <x v="1"/>
  </r>
  <r>
    <x v="54"/>
    <x v="0"/>
    <x v="44"/>
    <x v="49"/>
    <n v="97.7"/>
    <x v="47"/>
    <x v="1"/>
  </r>
  <r>
    <x v="55"/>
    <x v="3"/>
    <x v="45"/>
    <x v="50"/>
    <n v="86.7"/>
    <x v="48"/>
    <x v="1"/>
  </r>
  <r>
    <x v="56"/>
    <x v="1"/>
    <x v="15"/>
    <x v="51"/>
    <n v="33.5"/>
    <x v="19"/>
    <x v="1"/>
  </r>
  <r>
    <x v="57"/>
    <x v="4"/>
    <x v="46"/>
    <x v="52"/>
    <n v="70.3"/>
    <x v="49"/>
    <x v="1"/>
  </r>
  <r>
    <x v="24"/>
    <x v="6"/>
    <x v="47"/>
    <x v="53"/>
    <n v="89.8"/>
    <x v="50"/>
    <x v="1"/>
  </r>
  <r>
    <x v="58"/>
    <x v="0"/>
    <x v="48"/>
    <x v="54"/>
    <n v="60.4"/>
    <x v="51"/>
    <x v="1"/>
  </r>
  <r>
    <x v="59"/>
    <x v="1"/>
    <x v="49"/>
    <x v="55"/>
    <n v="67.900000000000006"/>
    <x v="52"/>
    <x v="0"/>
  </r>
  <r>
    <x v="24"/>
    <x v="6"/>
    <x v="4"/>
    <x v="56"/>
    <n v="58"/>
    <x v="53"/>
    <x v="1"/>
  </r>
  <r>
    <x v="60"/>
    <x v="1"/>
    <x v="50"/>
    <x v="57"/>
    <n v="49.7"/>
    <x v="54"/>
    <x v="0"/>
  </r>
  <r>
    <x v="61"/>
    <x v="4"/>
    <x v="51"/>
    <x v="58"/>
    <n v="32.9"/>
    <x v="55"/>
    <x v="0"/>
  </r>
  <r>
    <x v="62"/>
    <x v="6"/>
    <x v="52"/>
    <x v="59"/>
    <n v="65.2"/>
    <x v="56"/>
    <x v="1"/>
  </r>
  <r>
    <x v="63"/>
    <x v="1"/>
    <x v="53"/>
    <x v="60"/>
    <n v="45.6"/>
    <x v="57"/>
    <x v="1"/>
  </r>
  <r>
    <x v="64"/>
    <x v="2"/>
    <x v="54"/>
    <x v="61"/>
    <n v="61.2"/>
    <x v="58"/>
    <x v="1"/>
  </r>
  <r>
    <x v="65"/>
    <x v="2"/>
    <x v="38"/>
    <x v="36"/>
    <n v="65.900000000000006"/>
    <x v="59"/>
    <x v="1"/>
  </r>
  <r>
    <x v="66"/>
    <x v="2"/>
    <x v="55"/>
    <x v="23"/>
    <n v="61.1"/>
    <x v="60"/>
    <x v="0"/>
  </r>
  <r>
    <x v="67"/>
    <x v="3"/>
    <x v="3"/>
    <x v="0"/>
    <n v="86.4"/>
    <x v="61"/>
    <x v="1"/>
  </r>
  <r>
    <x v="68"/>
    <x v="1"/>
    <x v="54"/>
    <x v="23"/>
    <n v="49.5"/>
    <x v="62"/>
    <x v="1"/>
  </r>
  <r>
    <x v="69"/>
    <x v="6"/>
    <x v="56"/>
    <x v="62"/>
    <n v="65.8"/>
    <x v="48"/>
    <x v="1"/>
  </r>
  <r>
    <x v="70"/>
    <x v="5"/>
    <x v="57"/>
    <x v="51"/>
    <n v="100"/>
    <x v="27"/>
    <x v="1"/>
  </r>
  <r>
    <x v="71"/>
    <x v="4"/>
    <x v="58"/>
    <x v="63"/>
    <n v="87.8"/>
    <x v="63"/>
    <x v="1"/>
  </r>
  <r>
    <x v="72"/>
    <x v="6"/>
    <x v="0"/>
    <x v="64"/>
    <n v="49.5"/>
    <x v="64"/>
    <x v="1"/>
  </r>
  <r>
    <x v="73"/>
    <x v="3"/>
    <x v="59"/>
    <x v="65"/>
    <n v="33.200000000000003"/>
    <x v="65"/>
    <x v="0"/>
  </r>
  <r>
    <x v="74"/>
    <x v="2"/>
    <x v="60"/>
    <x v="66"/>
    <n v="86.3"/>
    <x v="66"/>
    <x v="1"/>
  </r>
  <r>
    <x v="75"/>
    <x v="1"/>
    <x v="61"/>
    <x v="67"/>
    <n v="75.7"/>
    <x v="67"/>
    <x v="1"/>
  </r>
  <r>
    <x v="76"/>
    <x v="1"/>
    <x v="62"/>
    <x v="0"/>
    <n v="76.8"/>
    <x v="68"/>
    <x v="1"/>
  </r>
  <r>
    <x v="77"/>
    <x v="2"/>
    <x v="63"/>
    <x v="0"/>
    <n v="68.3"/>
    <x v="69"/>
    <x v="1"/>
  </r>
  <r>
    <x v="78"/>
    <x v="2"/>
    <x v="64"/>
    <x v="68"/>
    <n v="62.6"/>
    <x v="70"/>
    <x v="1"/>
  </r>
  <r>
    <x v="79"/>
    <x v="3"/>
    <x v="65"/>
    <x v="69"/>
    <n v="65.8"/>
    <x v="71"/>
    <x v="0"/>
  </r>
  <r>
    <x v="80"/>
    <x v="1"/>
    <x v="66"/>
    <x v="70"/>
    <n v="65.099999999999994"/>
    <x v="72"/>
    <x v="1"/>
  </r>
  <r>
    <x v="81"/>
    <x v="6"/>
    <x v="0"/>
    <x v="71"/>
    <n v="58.2"/>
    <x v="73"/>
    <x v="0"/>
  </r>
  <r>
    <x v="82"/>
    <x v="1"/>
    <x v="67"/>
    <x v="72"/>
    <n v="76.900000000000006"/>
    <x v="74"/>
    <x v="0"/>
  </r>
  <r>
    <x v="83"/>
    <x v="1"/>
    <x v="68"/>
    <x v="43"/>
    <n v="53.4"/>
    <x v="75"/>
    <x v="2"/>
  </r>
  <r>
    <x v="84"/>
    <x v="5"/>
    <x v="32"/>
    <x v="73"/>
    <n v="80.900000000000006"/>
    <x v="76"/>
    <x v="1"/>
  </r>
  <r>
    <x v="85"/>
    <x v="1"/>
    <x v="69"/>
    <x v="74"/>
    <n v="59.2"/>
    <x v="77"/>
    <x v="0"/>
  </r>
  <r>
    <x v="24"/>
    <x v="3"/>
    <x v="70"/>
    <x v="75"/>
    <n v="76.2"/>
    <x v="78"/>
    <x v="1"/>
  </r>
  <r>
    <x v="86"/>
    <x v="0"/>
    <x v="71"/>
    <x v="76"/>
    <n v="69.7"/>
    <x v="79"/>
    <x v="0"/>
  </r>
  <r>
    <x v="87"/>
    <x v="2"/>
    <x v="72"/>
    <x v="77"/>
    <n v="79.3"/>
    <x v="30"/>
    <x v="2"/>
  </r>
  <r>
    <x v="88"/>
    <x v="4"/>
    <x v="73"/>
    <x v="78"/>
    <n v="77"/>
    <x v="0"/>
    <x v="0"/>
  </r>
  <r>
    <x v="89"/>
    <x v="7"/>
    <x v="0"/>
    <x v="79"/>
    <n v="67.2"/>
    <x v="80"/>
    <x v="1"/>
  </r>
  <r>
    <x v="90"/>
    <x v="1"/>
    <x v="74"/>
    <x v="50"/>
    <n v="71.3"/>
    <x v="81"/>
    <x v="1"/>
  </r>
  <r>
    <x v="91"/>
    <x v="4"/>
    <x v="17"/>
    <x v="80"/>
    <n v="63"/>
    <x v="82"/>
    <x v="0"/>
  </r>
  <r>
    <x v="92"/>
    <x v="6"/>
    <x v="75"/>
    <x v="81"/>
    <n v="49.5"/>
    <x v="83"/>
    <x v="1"/>
  </r>
  <r>
    <x v="93"/>
    <x v="3"/>
    <x v="76"/>
    <x v="82"/>
    <n v="71.900000000000006"/>
    <x v="84"/>
    <x v="2"/>
  </r>
  <r>
    <x v="94"/>
    <x v="1"/>
    <x v="77"/>
    <x v="83"/>
    <n v="62.4"/>
    <x v="85"/>
    <x v="1"/>
  </r>
  <r>
    <x v="95"/>
    <x v="2"/>
    <x v="78"/>
    <x v="38"/>
    <n v="85.9"/>
    <x v="86"/>
    <x v="1"/>
  </r>
  <r>
    <x v="96"/>
    <x v="4"/>
    <x v="79"/>
    <x v="84"/>
    <n v="50.1"/>
    <x v="87"/>
    <x v="1"/>
  </r>
  <r>
    <x v="97"/>
    <x v="4"/>
    <x v="80"/>
    <x v="71"/>
    <n v="78.3"/>
    <x v="88"/>
    <x v="2"/>
  </r>
  <r>
    <x v="98"/>
    <x v="2"/>
    <x v="81"/>
    <x v="85"/>
    <n v="85.6"/>
    <x v="89"/>
    <x v="1"/>
  </r>
  <r>
    <x v="99"/>
    <x v="1"/>
    <x v="8"/>
    <x v="86"/>
    <n v="75.400000000000006"/>
    <x v="90"/>
    <x v="1"/>
  </r>
  <r>
    <x v="100"/>
    <x v="0"/>
    <x v="61"/>
    <x v="39"/>
    <n v="45.7"/>
    <x v="91"/>
    <x v="0"/>
  </r>
  <r>
    <x v="101"/>
    <x v="4"/>
    <x v="82"/>
    <x v="87"/>
    <n v="56.8"/>
    <x v="19"/>
    <x v="1"/>
  </r>
  <r>
    <x v="102"/>
    <x v="2"/>
    <x v="83"/>
    <x v="88"/>
    <n v="93.6"/>
    <x v="92"/>
    <x v="1"/>
  </r>
  <r>
    <x v="103"/>
    <x v="4"/>
    <x v="84"/>
    <x v="89"/>
    <n v="88.8"/>
    <x v="0"/>
    <x v="1"/>
  </r>
  <r>
    <x v="104"/>
    <x v="3"/>
    <x v="85"/>
    <x v="90"/>
    <n v="47.8"/>
    <x v="93"/>
    <x v="0"/>
  </r>
  <r>
    <x v="24"/>
    <x v="3"/>
    <x v="86"/>
    <x v="24"/>
    <n v="66.099999999999994"/>
    <x v="94"/>
    <x v="0"/>
  </r>
  <r>
    <x v="105"/>
    <x v="6"/>
    <x v="20"/>
    <x v="91"/>
    <n v="29.6"/>
    <x v="95"/>
    <x v="1"/>
  </r>
  <r>
    <x v="106"/>
    <x v="0"/>
    <x v="87"/>
    <x v="88"/>
    <n v="95.9"/>
    <x v="96"/>
    <x v="1"/>
  </r>
  <r>
    <x v="107"/>
    <x v="2"/>
    <x v="28"/>
    <x v="92"/>
    <n v="49.5"/>
    <x v="91"/>
    <x v="0"/>
  </r>
  <r>
    <x v="108"/>
    <x v="2"/>
    <x v="88"/>
    <x v="93"/>
    <n v="59.5"/>
    <x v="97"/>
    <x v="1"/>
  </r>
  <r>
    <x v="109"/>
    <x v="1"/>
    <x v="89"/>
    <x v="91"/>
    <n v="86"/>
    <x v="98"/>
    <x v="1"/>
  </r>
  <r>
    <x v="110"/>
    <x v="0"/>
    <x v="90"/>
    <x v="94"/>
    <n v="89.7"/>
    <x v="99"/>
    <x v="1"/>
  </r>
  <r>
    <x v="111"/>
    <x v="0"/>
    <x v="0"/>
    <x v="95"/>
    <n v="69.7"/>
    <x v="96"/>
    <x v="1"/>
  </r>
  <r>
    <x v="112"/>
    <x v="3"/>
    <x v="91"/>
    <x v="60"/>
    <n v="58.3"/>
    <x v="100"/>
    <x v="1"/>
  </r>
  <r>
    <x v="113"/>
    <x v="1"/>
    <x v="92"/>
    <x v="0"/>
    <n v="78.099999999999994"/>
    <x v="101"/>
    <x v="0"/>
  </r>
  <r>
    <x v="114"/>
    <x v="4"/>
    <x v="93"/>
    <x v="2"/>
    <n v="51"/>
    <x v="0"/>
    <x v="1"/>
  </r>
  <r>
    <x v="115"/>
    <x v="6"/>
    <x v="94"/>
    <x v="96"/>
    <n v="100"/>
    <x v="102"/>
    <x v="1"/>
  </r>
  <r>
    <x v="116"/>
    <x v="1"/>
    <x v="14"/>
    <x v="97"/>
    <n v="58.1"/>
    <x v="103"/>
    <x v="1"/>
  </r>
  <r>
    <x v="117"/>
    <x v="0"/>
    <x v="95"/>
    <x v="98"/>
    <n v="40.4"/>
    <x v="104"/>
    <x v="0"/>
  </r>
  <r>
    <x v="118"/>
    <x v="3"/>
    <x v="22"/>
    <x v="99"/>
    <n v="70.8"/>
    <x v="105"/>
    <x v="0"/>
  </r>
  <r>
    <x v="119"/>
    <x v="5"/>
    <x v="96"/>
    <x v="100"/>
    <n v="83.2"/>
    <x v="19"/>
    <x v="1"/>
  </r>
  <r>
    <x v="24"/>
    <x v="2"/>
    <x v="97"/>
    <x v="101"/>
    <n v="71.3"/>
    <x v="65"/>
    <x v="1"/>
  </r>
  <r>
    <x v="120"/>
    <x v="4"/>
    <x v="98"/>
    <x v="102"/>
    <n v="65.400000000000006"/>
    <x v="106"/>
    <x v="1"/>
  </r>
  <r>
    <x v="121"/>
    <x v="4"/>
    <x v="99"/>
    <x v="103"/>
    <n v="58"/>
    <x v="8"/>
    <x v="0"/>
  </r>
  <r>
    <x v="122"/>
    <x v="4"/>
    <x v="48"/>
    <x v="0"/>
    <n v="76.8"/>
    <x v="107"/>
    <x v="1"/>
  </r>
  <r>
    <x v="123"/>
    <x v="4"/>
    <x v="100"/>
    <x v="104"/>
    <n v="72.8"/>
    <x v="0"/>
    <x v="0"/>
  </r>
  <r>
    <x v="124"/>
    <x v="3"/>
    <x v="101"/>
    <x v="105"/>
    <n v="43.4"/>
    <x v="108"/>
    <x v="0"/>
  </r>
  <r>
    <x v="125"/>
    <x v="3"/>
    <x v="102"/>
    <x v="50"/>
    <n v="54.8"/>
    <x v="109"/>
    <x v="1"/>
  </r>
  <r>
    <x v="126"/>
    <x v="0"/>
    <x v="103"/>
    <x v="106"/>
    <n v="64.099999999999994"/>
    <x v="75"/>
    <x v="0"/>
  </r>
  <r>
    <x v="127"/>
    <x v="4"/>
    <x v="104"/>
    <x v="107"/>
    <n v="77.900000000000006"/>
    <x v="110"/>
    <x v="1"/>
  </r>
  <r>
    <x v="128"/>
    <x v="1"/>
    <x v="0"/>
    <x v="108"/>
    <n v="69.5"/>
    <x v="111"/>
    <x v="1"/>
  </r>
  <r>
    <x v="24"/>
    <x v="1"/>
    <x v="105"/>
    <x v="109"/>
    <n v="39.6"/>
    <x v="112"/>
    <x v="0"/>
  </r>
  <r>
    <x v="129"/>
    <x v="1"/>
    <x v="106"/>
    <x v="22"/>
    <n v="64.7"/>
    <x v="113"/>
    <x v="1"/>
  </r>
  <r>
    <x v="130"/>
    <x v="1"/>
    <x v="8"/>
    <x v="110"/>
    <n v="78.5"/>
    <x v="114"/>
    <x v="1"/>
  </r>
  <r>
    <x v="131"/>
    <x v="1"/>
    <x v="107"/>
    <x v="111"/>
    <n v="56.4"/>
    <x v="115"/>
    <x v="1"/>
  </r>
  <r>
    <x v="132"/>
    <x v="5"/>
    <x v="108"/>
    <x v="86"/>
    <n v="62"/>
    <x v="116"/>
    <x v="1"/>
  </r>
  <r>
    <x v="133"/>
    <x v="2"/>
    <x v="109"/>
    <x v="112"/>
    <n v="59.3"/>
    <x v="117"/>
    <x v="1"/>
  </r>
  <r>
    <x v="134"/>
    <x v="5"/>
    <x v="8"/>
    <x v="113"/>
    <n v="80"/>
    <x v="118"/>
    <x v="1"/>
  </r>
  <r>
    <x v="63"/>
    <x v="1"/>
    <x v="53"/>
    <x v="0"/>
    <n v="45.6"/>
    <x v="57"/>
    <x v="1"/>
  </r>
  <r>
    <x v="135"/>
    <x v="2"/>
    <x v="110"/>
    <x v="92"/>
    <n v="83.8"/>
    <x v="119"/>
    <x v="1"/>
  </r>
  <r>
    <x v="136"/>
    <x v="3"/>
    <x v="13"/>
    <x v="114"/>
    <n v="71.5"/>
    <x v="120"/>
    <x v="2"/>
  </r>
  <r>
    <x v="137"/>
    <x v="5"/>
    <x v="111"/>
    <x v="115"/>
    <n v="49.3"/>
    <x v="121"/>
    <x v="0"/>
  </r>
  <r>
    <x v="138"/>
    <x v="1"/>
    <x v="112"/>
    <x v="116"/>
    <n v="87.5"/>
    <x v="95"/>
    <x v="0"/>
  </r>
  <r>
    <x v="139"/>
    <x v="2"/>
    <x v="8"/>
    <x v="117"/>
    <n v="76.599999999999994"/>
    <x v="122"/>
    <x v="1"/>
  </r>
  <r>
    <x v="140"/>
    <x v="0"/>
    <x v="113"/>
    <x v="118"/>
    <n v="73"/>
    <x v="123"/>
    <x v="1"/>
  </r>
  <r>
    <x v="141"/>
    <x v="4"/>
    <x v="0"/>
    <x v="119"/>
    <n v="52.4"/>
    <x v="124"/>
    <x v="1"/>
  </r>
  <r>
    <x v="4"/>
    <x v="3"/>
    <x v="4"/>
    <x v="4"/>
    <n v="64"/>
    <x v="4"/>
    <x v="1"/>
  </r>
  <r>
    <x v="142"/>
    <x v="3"/>
    <x v="114"/>
    <x v="120"/>
    <n v="92.1"/>
    <x v="125"/>
    <x v="1"/>
  </r>
  <r>
    <x v="143"/>
    <x v="3"/>
    <x v="90"/>
    <x v="121"/>
    <n v="49.5"/>
    <x v="126"/>
    <x v="1"/>
  </r>
  <r>
    <x v="144"/>
    <x v="3"/>
    <x v="115"/>
    <x v="122"/>
    <n v="53.3"/>
    <x v="127"/>
    <x v="0"/>
  </r>
  <r>
    <x v="24"/>
    <x v="6"/>
    <x v="116"/>
    <x v="123"/>
    <n v="79.7"/>
    <x v="128"/>
    <x v="1"/>
  </r>
  <r>
    <x v="145"/>
    <x v="6"/>
    <x v="117"/>
    <x v="92"/>
    <n v="48"/>
    <x v="129"/>
    <x v="0"/>
  </r>
  <r>
    <x v="146"/>
    <x v="4"/>
    <x v="118"/>
    <x v="124"/>
    <n v="78.400000000000006"/>
    <x v="130"/>
    <x v="1"/>
  </r>
  <r>
    <x v="147"/>
    <x v="5"/>
    <x v="119"/>
    <x v="125"/>
    <n v="88.3"/>
    <x v="131"/>
    <x v="2"/>
  </r>
  <r>
    <x v="148"/>
    <x v="8"/>
    <x v="68"/>
    <x v="125"/>
    <n v="49"/>
    <x v="132"/>
    <x v="1"/>
  </r>
  <r>
    <x v="24"/>
    <x v="4"/>
    <x v="120"/>
    <x v="126"/>
    <n v="31.2"/>
    <x v="133"/>
    <x v="1"/>
  </r>
  <r>
    <x v="149"/>
    <x v="2"/>
    <x v="6"/>
    <x v="127"/>
    <n v="58.7"/>
    <x v="134"/>
    <x v="0"/>
  </r>
  <r>
    <x v="150"/>
    <x v="0"/>
    <x v="121"/>
    <x v="128"/>
    <n v="64.099999999999994"/>
    <x v="26"/>
    <x v="1"/>
  </r>
  <r>
    <x v="104"/>
    <x v="3"/>
    <x v="85"/>
    <x v="129"/>
    <n v="47.8"/>
    <x v="93"/>
    <x v="0"/>
  </r>
  <r>
    <x v="151"/>
    <x v="3"/>
    <x v="121"/>
    <x v="130"/>
    <n v="49.5"/>
    <x v="135"/>
    <x v="1"/>
  </r>
  <r>
    <x v="152"/>
    <x v="3"/>
    <x v="44"/>
    <x v="65"/>
    <n v="63.5"/>
    <x v="136"/>
    <x v="1"/>
  </r>
  <r>
    <x v="153"/>
    <x v="1"/>
    <x v="122"/>
    <x v="131"/>
    <n v="88.7"/>
    <x v="137"/>
    <x v="0"/>
  </r>
  <r>
    <x v="154"/>
    <x v="1"/>
    <x v="123"/>
    <x v="20"/>
    <n v="78.599999999999994"/>
    <x v="138"/>
    <x v="1"/>
  </r>
  <r>
    <x v="155"/>
    <x v="0"/>
    <x v="124"/>
    <x v="32"/>
    <n v="64.400000000000006"/>
    <x v="139"/>
    <x v="0"/>
  </r>
  <r>
    <x v="156"/>
    <x v="4"/>
    <x v="7"/>
    <x v="132"/>
    <n v="48.1"/>
    <x v="140"/>
    <x v="1"/>
  </r>
  <r>
    <x v="24"/>
    <x v="1"/>
    <x v="8"/>
    <x v="8"/>
    <n v="79"/>
    <x v="28"/>
    <x v="1"/>
  </r>
  <r>
    <x v="157"/>
    <x v="0"/>
    <x v="8"/>
    <x v="122"/>
    <n v="66"/>
    <x v="56"/>
    <x v="1"/>
  </r>
  <r>
    <x v="158"/>
    <x v="2"/>
    <x v="125"/>
    <x v="133"/>
    <n v="74.2"/>
    <x v="141"/>
    <x v="1"/>
  </r>
  <r>
    <x v="159"/>
    <x v="4"/>
    <x v="126"/>
    <x v="134"/>
    <n v="81.8"/>
    <x v="142"/>
    <x v="2"/>
  </r>
  <r>
    <x v="160"/>
    <x v="6"/>
    <x v="97"/>
    <x v="135"/>
    <n v="65"/>
    <x v="69"/>
    <x v="0"/>
  </r>
  <r>
    <x v="161"/>
    <x v="3"/>
    <x v="81"/>
    <x v="136"/>
    <n v="79.8"/>
    <x v="75"/>
    <x v="1"/>
  </r>
  <r>
    <x v="162"/>
    <x v="4"/>
    <x v="127"/>
    <x v="137"/>
    <n v="77.8"/>
    <x v="143"/>
    <x v="1"/>
  </r>
  <r>
    <x v="163"/>
    <x v="4"/>
    <x v="128"/>
    <x v="138"/>
    <n v="56.7"/>
    <x v="0"/>
    <x v="1"/>
  </r>
  <r>
    <x v="164"/>
    <x v="3"/>
    <x v="129"/>
    <x v="0"/>
    <n v="60.4"/>
    <x v="144"/>
    <x v="0"/>
  </r>
  <r>
    <x v="165"/>
    <x v="0"/>
    <x v="130"/>
    <x v="139"/>
    <n v="66.2"/>
    <x v="145"/>
    <x v="1"/>
  </r>
  <r>
    <x v="166"/>
    <x v="6"/>
    <x v="131"/>
    <x v="140"/>
    <n v="41.9"/>
    <x v="139"/>
    <x v="0"/>
  </r>
  <r>
    <x v="24"/>
    <x v="1"/>
    <x v="132"/>
    <x v="134"/>
    <n v="90.9"/>
    <x v="146"/>
    <x v="1"/>
  </r>
  <r>
    <x v="167"/>
    <x v="4"/>
    <x v="43"/>
    <x v="141"/>
    <n v="74.099999999999994"/>
    <x v="147"/>
    <x v="0"/>
  </r>
  <r>
    <x v="168"/>
    <x v="1"/>
    <x v="112"/>
    <x v="142"/>
    <n v="76.8"/>
    <x v="148"/>
    <x v="0"/>
  </r>
  <r>
    <x v="169"/>
    <x v="3"/>
    <x v="127"/>
    <x v="143"/>
    <n v="88.7"/>
    <x v="149"/>
    <x v="1"/>
  </r>
  <r>
    <x v="170"/>
    <x v="9"/>
    <x v="133"/>
    <x v="0"/>
    <n v="79.7"/>
    <x v="150"/>
    <x v="3"/>
  </r>
  <r>
    <x v="13"/>
    <x v="5"/>
    <x v="50"/>
    <x v="13"/>
    <n v="58.4"/>
    <x v="3"/>
    <x v="1"/>
  </r>
  <r>
    <x v="171"/>
    <x v="1"/>
    <x v="134"/>
    <x v="110"/>
    <n v="72.5"/>
    <x v="151"/>
    <x v="1"/>
  </r>
  <r>
    <x v="172"/>
    <x v="0"/>
    <x v="135"/>
    <x v="144"/>
    <n v="59.1"/>
    <x v="69"/>
    <x v="0"/>
  </r>
  <r>
    <x v="173"/>
    <x v="1"/>
    <x v="136"/>
    <x v="145"/>
    <n v="46.4"/>
    <x v="19"/>
    <x v="0"/>
  </r>
  <r>
    <x v="174"/>
    <x v="4"/>
    <x v="137"/>
    <x v="146"/>
    <n v="52.9"/>
    <x v="152"/>
    <x v="2"/>
  </r>
  <r>
    <x v="175"/>
    <x v="0"/>
    <x v="138"/>
    <x v="147"/>
    <n v="91.2"/>
    <x v="153"/>
    <x v="1"/>
  </r>
  <r>
    <x v="176"/>
    <x v="4"/>
    <x v="139"/>
    <x v="45"/>
    <n v="66.3"/>
    <x v="126"/>
    <x v="1"/>
  </r>
  <r>
    <x v="24"/>
    <x v="3"/>
    <x v="140"/>
    <x v="148"/>
    <n v="97.5"/>
    <x v="19"/>
    <x v="0"/>
  </r>
  <r>
    <x v="177"/>
    <x v="0"/>
    <x v="141"/>
    <x v="149"/>
    <n v="82.9"/>
    <x v="74"/>
    <x v="1"/>
  </r>
  <r>
    <x v="178"/>
    <x v="4"/>
    <x v="142"/>
    <x v="110"/>
    <n v="66.099999999999994"/>
    <x v="95"/>
    <x v="1"/>
  </r>
  <r>
    <x v="179"/>
    <x v="5"/>
    <x v="25"/>
    <x v="150"/>
    <n v="64.5"/>
    <x v="154"/>
    <x v="0"/>
  </r>
  <r>
    <x v="180"/>
    <x v="2"/>
    <x v="143"/>
    <x v="21"/>
    <n v="77.5"/>
    <x v="155"/>
    <x v="1"/>
  </r>
  <r>
    <x v="181"/>
    <x v="3"/>
    <x v="0"/>
    <x v="151"/>
    <n v="99.6"/>
    <x v="156"/>
    <x v="0"/>
  </r>
  <r>
    <x v="182"/>
    <x v="4"/>
    <x v="144"/>
    <x v="152"/>
    <n v="49.5"/>
    <x v="157"/>
    <x v="1"/>
  </r>
  <r>
    <x v="183"/>
    <x v="4"/>
    <x v="139"/>
    <x v="153"/>
    <n v="85.5"/>
    <x v="158"/>
    <x v="1"/>
  </r>
  <r>
    <x v="184"/>
    <x v="3"/>
    <x v="145"/>
    <x v="154"/>
    <n v="53.1"/>
    <x v="159"/>
    <x v="1"/>
  </r>
  <r>
    <x v="185"/>
    <x v="0"/>
    <x v="146"/>
    <x v="0"/>
    <n v="67.3"/>
    <x v="160"/>
    <x v="1"/>
  </r>
  <r>
    <x v="186"/>
    <x v="1"/>
    <x v="147"/>
    <x v="155"/>
    <n v="81.400000000000006"/>
    <x v="161"/>
    <x v="2"/>
  </r>
  <r>
    <x v="187"/>
    <x v="3"/>
    <x v="57"/>
    <x v="156"/>
    <n v="49.5"/>
    <x v="162"/>
    <x v="1"/>
  </r>
  <r>
    <x v="188"/>
    <x v="3"/>
    <x v="148"/>
    <x v="95"/>
    <n v="73"/>
    <x v="163"/>
    <x v="0"/>
  </r>
  <r>
    <x v="189"/>
    <x v="3"/>
    <x v="28"/>
    <x v="51"/>
    <n v="38.6"/>
    <x v="136"/>
    <x v="0"/>
  </r>
  <r>
    <x v="190"/>
    <x v="3"/>
    <x v="123"/>
    <x v="157"/>
    <n v="58"/>
    <x v="164"/>
    <x v="1"/>
  </r>
  <r>
    <x v="191"/>
    <x v="0"/>
    <x v="149"/>
    <x v="34"/>
    <n v="61.7"/>
    <x v="165"/>
    <x v="1"/>
  </r>
  <r>
    <x v="192"/>
    <x v="6"/>
    <x v="150"/>
    <x v="0"/>
    <n v="79.7"/>
    <x v="128"/>
    <x v="1"/>
  </r>
  <r>
    <x v="193"/>
    <x v="4"/>
    <x v="48"/>
    <x v="146"/>
    <n v="66.099999999999994"/>
    <x v="166"/>
    <x v="1"/>
  </r>
  <r>
    <x v="194"/>
    <x v="3"/>
    <x v="151"/>
    <x v="134"/>
    <n v="82.7"/>
    <x v="0"/>
    <x v="1"/>
  </r>
  <r>
    <x v="195"/>
    <x v="3"/>
    <x v="152"/>
    <x v="158"/>
    <n v="82.5"/>
    <x v="167"/>
    <x v="1"/>
  </r>
  <r>
    <x v="196"/>
    <x v="6"/>
    <x v="153"/>
    <x v="159"/>
    <n v="44.7"/>
    <x v="168"/>
    <x v="0"/>
  </r>
  <r>
    <x v="197"/>
    <x v="4"/>
    <x v="63"/>
    <x v="160"/>
    <n v="67.599999999999994"/>
    <x v="169"/>
    <x v="1"/>
  </r>
  <r>
    <x v="198"/>
    <x v="0"/>
    <x v="154"/>
    <x v="161"/>
    <n v="60.9"/>
    <x v="170"/>
    <x v="0"/>
  </r>
  <r>
    <x v="199"/>
    <x v="2"/>
    <x v="155"/>
    <x v="162"/>
    <n v="65.5"/>
    <x v="171"/>
    <x v="1"/>
  </r>
  <r>
    <x v="200"/>
    <x v="0"/>
    <x v="153"/>
    <x v="163"/>
    <n v="68"/>
    <x v="0"/>
    <x v="0"/>
  </r>
  <r>
    <x v="201"/>
    <x v="5"/>
    <x v="149"/>
    <x v="164"/>
    <n v="51.5"/>
    <x v="172"/>
    <x v="1"/>
  </r>
  <r>
    <x v="202"/>
    <x v="6"/>
    <x v="156"/>
    <x v="165"/>
    <n v="71.2"/>
    <x v="173"/>
    <x v="1"/>
  </r>
  <r>
    <x v="203"/>
    <x v="4"/>
    <x v="157"/>
    <x v="0"/>
    <n v="100"/>
    <x v="174"/>
    <x v="1"/>
  </r>
  <r>
    <x v="204"/>
    <x v="1"/>
    <x v="158"/>
    <x v="166"/>
    <n v="77"/>
    <x v="175"/>
    <x v="1"/>
  </r>
  <r>
    <x v="205"/>
    <x v="5"/>
    <x v="8"/>
    <x v="167"/>
    <n v="63.3"/>
    <x v="176"/>
    <x v="1"/>
  </r>
  <r>
    <x v="206"/>
    <x v="3"/>
    <x v="159"/>
    <x v="168"/>
    <n v="91.4"/>
    <x v="177"/>
    <x v="1"/>
  </r>
  <r>
    <x v="207"/>
    <x v="4"/>
    <x v="97"/>
    <x v="169"/>
    <n v="44.6"/>
    <x v="80"/>
    <x v="2"/>
  </r>
  <r>
    <x v="208"/>
    <x v="4"/>
    <x v="22"/>
    <x v="170"/>
    <n v="58.3"/>
    <x v="135"/>
    <x v="0"/>
  </r>
  <r>
    <x v="209"/>
    <x v="6"/>
    <x v="43"/>
    <x v="171"/>
    <n v="78.7"/>
    <x v="0"/>
    <x v="1"/>
  </r>
  <r>
    <x v="210"/>
    <x v="1"/>
    <x v="160"/>
    <x v="172"/>
    <n v="62.7"/>
    <x v="159"/>
    <x v="1"/>
  </r>
  <r>
    <x v="211"/>
    <x v="1"/>
    <x v="161"/>
    <x v="173"/>
    <n v="48.5"/>
    <x v="178"/>
    <x v="1"/>
  </r>
  <r>
    <x v="212"/>
    <x v="3"/>
    <x v="162"/>
    <x v="0"/>
    <n v="61.9"/>
    <x v="179"/>
    <x v="1"/>
  </r>
  <r>
    <x v="213"/>
    <x v="3"/>
    <x v="163"/>
    <x v="174"/>
    <n v="69.8"/>
    <x v="80"/>
    <x v="1"/>
  </r>
  <r>
    <x v="214"/>
    <x v="5"/>
    <x v="120"/>
    <x v="175"/>
    <n v="53.7"/>
    <x v="180"/>
    <x v="1"/>
  </r>
  <r>
    <x v="215"/>
    <x v="3"/>
    <x v="164"/>
    <x v="3"/>
    <n v="73.599999999999994"/>
    <x v="0"/>
    <x v="1"/>
  </r>
  <r>
    <x v="216"/>
    <x v="5"/>
    <x v="59"/>
    <x v="67"/>
    <n v="61"/>
    <x v="78"/>
    <x v="1"/>
  </r>
  <r>
    <x v="217"/>
    <x v="3"/>
    <x v="165"/>
    <x v="176"/>
    <n v="117"/>
    <x v="181"/>
    <x v="1"/>
  </r>
  <r>
    <x v="218"/>
    <x v="2"/>
    <x v="166"/>
    <x v="176"/>
    <n v="93.3"/>
    <x v="182"/>
    <x v="0"/>
  </r>
  <r>
    <x v="219"/>
    <x v="6"/>
    <x v="167"/>
    <x v="177"/>
    <n v="90.8"/>
    <x v="183"/>
    <x v="0"/>
  </r>
  <r>
    <x v="220"/>
    <x v="2"/>
    <x v="27"/>
    <x v="178"/>
    <n v="74.8"/>
    <x v="184"/>
    <x v="1"/>
  </r>
  <r>
    <x v="221"/>
    <x v="1"/>
    <x v="168"/>
    <x v="142"/>
    <n v="71.7"/>
    <x v="185"/>
    <x v="1"/>
  </r>
  <r>
    <x v="222"/>
    <x v="1"/>
    <x v="169"/>
    <x v="179"/>
    <n v="88.2"/>
    <x v="186"/>
    <x v="1"/>
  </r>
  <r>
    <x v="223"/>
    <x v="3"/>
    <x v="54"/>
    <x v="180"/>
    <n v="100"/>
    <x v="187"/>
    <x v="1"/>
  </r>
  <r>
    <x v="224"/>
    <x v="0"/>
    <x v="147"/>
    <x v="181"/>
    <n v="49.5"/>
    <x v="79"/>
    <x v="1"/>
  </r>
  <r>
    <x v="24"/>
    <x v="2"/>
    <x v="170"/>
    <x v="182"/>
    <n v="50.7"/>
    <x v="188"/>
    <x v="0"/>
  </r>
  <r>
    <x v="225"/>
    <x v="4"/>
    <x v="170"/>
    <x v="20"/>
    <n v="43.2"/>
    <x v="0"/>
    <x v="1"/>
  </r>
  <r>
    <x v="226"/>
    <x v="4"/>
    <x v="171"/>
    <x v="67"/>
    <n v="62.5"/>
    <x v="189"/>
    <x v="0"/>
  </r>
  <r>
    <x v="227"/>
    <x v="4"/>
    <x v="8"/>
    <x v="183"/>
    <n v="49.9"/>
    <x v="190"/>
    <x v="1"/>
  </r>
  <r>
    <x v="228"/>
    <x v="4"/>
    <x v="111"/>
    <x v="184"/>
    <n v="72.2"/>
    <x v="191"/>
    <x v="0"/>
  </r>
  <r>
    <x v="229"/>
    <x v="4"/>
    <x v="172"/>
    <x v="145"/>
    <n v="70.5"/>
    <x v="192"/>
    <x v="1"/>
  </r>
  <r>
    <x v="230"/>
    <x v="1"/>
    <x v="173"/>
    <x v="0"/>
    <n v="59.2"/>
    <x v="64"/>
    <x v="1"/>
  </r>
  <r>
    <x v="231"/>
    <x v="4"/>
    <x v="174"/>
    <x v="67"/>
    <n v="74.7"/>
    <x v="114"/>
    <x v="1"/>
  </r>
  <r>
    <x v="232"/>
    <x v="3"/>
    <x v="89"/>
    <x v="23"/>
    <n v="57.1"/>
    <x v="193"/>
    <x v="1"/>
  </r>
  <r>
    <x v="233"/>
    <x v="1"/>
    <x v="59"/>
    <x v="72"/>
    <n v="70.599999999999994"/>
    <x v="0"/>
    <x v="1"/>
  </r>
  <r>
    <x v="234"/>
    <x v="6"/>
    <x v="52"/>
    <x v="185"/>
    <n v="71.5"/>
    <x v="79"/>
    <x v="1"/>
  </r>
  <r>
    <x v="235"/>
    <x v="1"/>
    <x v="175"/>
    <x v="23"/>
    <n v="49.8"/>
    <x v="0"/>
    <x v="0"/>
  </r>
  <r>
    <x v="236"/>
    <x v="1"/>
    <x v="176"/>
    <x v="17"/>
    <n v="54"/>
    <x v="21"/>
    <x v="1"/>
  </r>
  <r>
    <x v="237"/>
    <x v="4"/>
    <x v="177"/>
    <x v="186"/>
    <n v="49.5"/>
    <x v="33"/>
    <x v="1"/>
  </r>
  <r>
    <x v="238"/>
    <x v="1"/>
    <x v="178"/>
    <x v="187"/>
    <n v="80.599999999999994"/>
    <x v="194"/>
    <x v="1"/>
  </r>
  <r>
    <x v="239"/>
    <x v="2"/>
    <x v="116"/>
    <x v="4"/>
    <n v="73.099999999999994"/>
    <x v="195"/>
    <x v="1"/>
  </r>
  <r>
    <x v="240"/>
    <x v="2"/>
    <x v="0"/>
    <x v="138"/>
    <n v="61.2"/>
    <x v="196"/>
    <x v="0"/>
  </r>
  <r>
    <x v="241"/>
    <x v="6"/>
    <x v="179"/>
    <x v="175"/>
    <n v="56.4"/>
    <x v="197"/>
    <x v="1"/>
  </r>
  <r>
    <x v="242"/>
    <x v="0"/>
    <x v="0"/>
    <x v="188"/>
    <n v="52.5"/>
    <x v="198"/>
    <x v="1"/>
  </r>
  <r>
    <x v="243"/>
    <x v="4"/>
    <x v="51"/>
    <x v="189"/>
    <n v="100"/>
    <x v="199"/>
    <x v="1"/>
  </r>
  <r>
    <x v="244"/>
    <x v="1"/>
    <x v="180"/>
    <x v="190"/>
    <n v="22.2"/>
    <x v="200"/>
    <x v="0"/>
  </r>
  <r>
    <x v="245"/>
    <x v="2"/>
    <x v="32"/>
    <x v="191"/>
    <n v="11.4"/>
    <x v="201"/>
    <x v="0"/>
  </r>
  <r>
    <x v="246"/>
    <x v="0"/>
    <x v="181"/>
    <x v="192"/>
    <n v="49.5"/>
    <x v="202"/>
    <x v="1"/>
  </r>
  <r>
    <x v="247"/>
    <x v="1"/>
    <x v="39"/>
    <x v="0"/>
    <n v="100"/>
    <x v="203"/>
    <x v="1"/>
  </r>
  <r>
    <x v="248"/>
    <x v="1"/>
    <x v="41"/>
    <x v="176"/>
    <n v="54"/>
    <x v="204"/>
    <x v="2"/>
  </r>
  <r>
    <x v="249"/>
    <x v="2"/>
    <x v="182"/>
    <x v="181"/>
    <n v="49.5"/>
    <x v="205"/>
    <x v="0"/>
  </r>
  <r>
    <x v="250"/>
    <x v="0"/>
    <x v="89"/>
    <x v="153"/>
    <n v="78.400000000000006"/>
    <x v="5"/>
    <x v="1"/>
  </r>
  <r>
    <x v="251"/>
    <x v="3"/>
    <x v="182"/>
    <x v="86"/>
    <n v="75.400000000000006"/>
    <x v="120"/>
    <x v="2"/>
  </r>
  <r>
    <x v="252"/>
    <x v="0"/>
    <x v="116"/>
    <x v="193"/>
    <n v="71.3"/>
    <x v="64"/>
    <x v="1"/>
  </r>
  <r>
    <x v="253"/>
    <x v="0"/>
    <x v="155"/>
    <x v="16"/>
    <n v="60.2"/>
    <x v="144"/>
    <x v="1"/>
  </r>
  <r>
    <x v="254"/>
    <x v="1"/>
    <x v="183"/>
    <x v="194"/>
    <n v="63.7"/>
    <x v="206"/>
    <x v="1"/>
  </r>
  <r>
    <x v="255"/>
    <x v="0"/>
    <x v="184"/>
    <x v="195"/>
    <n v="96.1"/>
    <x v="207"/>
    <x v="1"/>
  </r>
  <r>
    <x v="256"/>
    <x v="4"/>
    <x v="40"/>
    <x v="196"/>
    <n v="81.599999999999994"/>
    <x v="171"/>
    <x v="1"/>
  </r>
  <r>
    <x v="257"/>
    <x v="1"/>
    <x v="121"/>
    <x v="151"/>
    <n v="51.2"/>
    <x v="208"/>
    <x v="1"/>
  </r>
  <r>
    <x v="258"/>
    <x v="3"/>
    <x v="8"/>
    <x v="0"/>
    <n v="57.9"/>
    <x v="209"/>
    <x v="1"/>
  </r>
  <r>
    <x v="259"/>
    <x v="2"/>
    <x v="185"/>
    <x v="83"/>
    <n v="38.9"/>
    <x v="210"/>
    <x v="1"/>
  </r>
  <r>
    <x v="260"/>
    <x v="0"/>
    <x v="182"/>
    <x v="197"/>
    <n v="61.3"/>
    <x v="211"/>
    <x v="2"/>
  </r>
  <r>
    <x v="261"/>
    <x v="0"/>
    <x v="186"/>
    <x v="50"/>
    <n v="76.8"/>
    <x v="212"/>
    <x v="2"/>
  </r>
  <r>
    <x v="262"/>
    <x v="4"/>
    <x v="180"/>
    <x v="89"/>
    <n v="63.6"/>
    <x v="213"/>
    <x v="1"/>
  </r>
  <r>
    <x v="263"/>
    <x v="0"/>
    <x v="24"/>
    <x v="198"/>
    <n v="56.2"/>
    <x v="138"/>
    <x v="1"/>
  </r>
  <r>
    <x v="264"/>
    <x v="0"/>
    <x v="23"/>
    <x v="199"/>
    <n v="47.3"/>
    <x v="122"/>
    <x v="0"/>
  </r>
  <r>
    <x v="265"/>
    <x v="2"/>
    <x v="127"/>
    <x v="84"/>
    <n v="87.1"/>
    <x v="131"/>
    <x v="1"/>
  </r>
  <r>
    <x v="266"/>
    <x v="1"/>
    <x v="187"/>
    <x v="200"/>
    <n v="66.5"/>
    <x v="56"/>
    <x v="4"/>
  </r>
  <r>
    <x v="267"/>
    <x v="3"/>
    <x v="77"/>
    <x v="201"/>
    <n v="73.099999999999994"/>
    <x v="19"/>
    <x v="1"/>
  </r>
  <r>
    <x v="268"/>
    <x v="3"/>
    <x v="145"/>
    <x v="21"/>
    <n v="55.4"/>
    <x v="214"/>
    <x v="1"/>
  </r>
  <r>
    <x v="24"/>
    <x v="3"/>
    <x v="188"/>
    <x v="202"/>
    <n v="84.7"/>
    <x v="29"/>
    <x v="1"/>
  </r>
  <r>
    <x v="269"/>
    <x v="1"/>
    <x v="189"/>
    <x v="203"/>
    <n v="83.5"/>
    <x v="215"/>
    <x v="0"/>
  </r>
  <r>
    <x v="24"/>
    <x v="4"/>
    <x v="82"/>
    <x v="49"/>
    <n v="44.8"/>
    <x v="216"/>
    <x v="0"/>
  </r>
  <r>
    <x v="270"/>
    <x v="3"/>
    <x v="190"/>
    <x v="204"/>
    <n v="100"/>
    <x v="214"/>
    <x v="1"/>
  </r>
  <r>
    <x v="271"/>
    <x v="2"/>
    <x v="191"/>
    <x v="146"/>
    <n v="67.099999999999994"/>
    <x v="12"/>
    <x v="2"/>
  </r>
  <r>
    <x v="272"/>
    <x v="0"/>
    <x v="8"/>
    <x v="0"/>
    <n v="72.400000000000006"/>
    <x v="217"/>
    <x v="1"/>
  </r>
  <r>
    <x v="273"/>
    <x v="3"/>
    <x v="192"/>
    <x v="205"/>
    <n v="85.4"/>
    <x v="38"/>
    <x v="0"/>
  </r>
  <r>
    <x v="274"/>
    <x v="2"/>
    <x v="156"/>
    <x v="206"/>
    <n v="80.400000000000006"/>
    <x v="18"/>
    <x v="1"/>
  </r>
  <r>
    <x v="275"/>
    <x v="4"/>
    <x v="42"/>
    <x v="23"/>
    <n v="74.8"/>
    <x v="218"/>
    <x v="1"/>
  </r>
  <r>
    <x v="276"/>
    <x v="5"/>
    <x v="193"/>
    <x v="207"/>
    <n v="69"/>
    <x v="219"/>
    <x v="0"/>
  </r>
  <r>
    <x v="277"/>
    <x v="2"/>
    <x v="194"/>
    <x v="192"/>
    <n v="88.6"/>
    <x v="0"/>
    <x v="0"/>
  </r>
  <r>
    <x v="278"/>
    <x v="4"/>
    <x v="57"/>
    <x v="0"/>
    <n v="70.400000000000006"/>
    <x v="4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4BEAA-1190-49E0-B2B1-09BCD1DABB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7">
    <pivotField dataField="1" showAll="0"/>
    <pivotField axis="axisRow" showAll="0">
      <items count="12">
        <item x="7"/>
        <item x="1"/>
        <item x="3"/>
        <item x="8"/>
        <item x="4"/>
        <item x="6"/>
        <item x="2"/>
        <item x="9"/>
        <item x="0"/>
        <item x="5"/>
        <item x="10"/>
        <item t="default"/>
      </items>
    </pivotField>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E5959-FAB2-4AB8-8FF9-99BAE57964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1:B53" firstHeaderRow="1" firstDataRow="1" firstDataCol="1" rowPageCount="1" colPageCount="1"/>
  <pivotFields count="7">
    <pivotField showAll="0"/>
    <pivotField axis="axisRow" showAll="0">
      <items count="12">
        <item x="7"/>
        <item x="1"/>
        <item x="3"/>
        <item x="8"/>
        <item x="4"/>
        <item x="6"/>
        <item x="2"/>
        <item x="9"/>
        <item x="0"/>
        <item x="5"/>
        <item x="10"/>
        <item t="default"/>
      </items>
    </pivotField>
    <pivotField showAll="0"/>
    <pivotField showAll="0"/>
    <pivotField dataField="1" showAll="0">
      <items count="223">
        <item x="14"/>
        <item x="197"/>
        <item x="196"/>
        <item x="93"/>
        <item x="127"/>
        <item x="56"/>
        <item x="65"/>
        <item x="49"/>
        <item x="157"/>
        <item x="204"/>
        <item x="109"/>
        <item x="101"/>
        <item x="140"/>
        <item x="35"/>
        <item x="184"/>
        <item x="105"/>
        <item x="45"/>
        <item x="34"/>
        <item x="169"/>
        <item x="161"/>
        <item x="214"/>
        <item x="58"/>
        <item x="88"/>
        <item x="145"/>
        <item x="208"/>
        <item x="92"/>
        <item x="124"/>
        <item x="133"/>
        <item x="172"/>
        <item x="42"/>
        <item x="126"/>
        <item x="116"/>
        <item x="0"/>
        <item x="55"/>
        <item x="191"/>
        <item x="186"/>
        <item x="85"/>
        <item x="183"/>
        <item x="99"/>
        <item x="202"/>
        <item x="165"/>
        <item x="25"/>
        <item x="19"/>
        <item x="1"/>
        <item x="195"/>
        <item x="146"/>
        <item x="155"/>
        <item x="122"/>
        <item x="73"/>
        <item x="175"/>
        <item x="192"/>
        <item x="106"/>
        <item x="211"/>
        <item x="17"/>
        <item x="207"/>
        <item x="111"/>
        <item x="138"/>
        <item x="89"/>
        <item x="189"/>
        <item x="203"/>
        <item x="54"/>
        <item x="100"/>
        <item x="71"/>
        <item x="98"/>
        <item x="9"/>
        <item x="128"/>
        <item x="40"/>
        <item x="144"/>
        <item x="75"/>
        <item x="30"/>
        <item x="95"/>
        <item x="36"/>
        <item x="198"/>
        <item x="52"/>
        <item x="163"/>
        <item x="43"/>
        <item x="61"/>
        <item x="59"/>
        <item x="205"/>
        <item x="158"/>
        <item x="173"/>
        <item x="112"/>
        <item x="84"/>
        <item x="185"/>
        <item x="69"/>
        <item x="171"/>
        <item x="82"/>
        <item x="167"/>
        <item x="129"/>
        <item x="206"/>
        <item x="199"/>
        <item x="120"/>
        <item x="107"/>
        <item x="132"/>
        <item x="151"/>
        <item x="110"/>
        <item x="135"/>
        <item x="70"/>
        <item x="57"/>
        <item x="103"/>
        <item x="164"/>
        <item x="63"/>
        <item x="60"/>
        <item x="38"/>
        <item x="10"/>
        <item x="139"/>
        <item x="148"/>
        <item x="210"/>
        <item x="29"/>
        <item x="215"/>
        <item x="80"/>
        <item x="156"/>
        <item x="162"/>
        <item x="53"/>
        <item x="13"/>
        <item x="68"/>
        <item x="219"/>
        <item x="108"/>
        <item x="77"/>
        <item x="174"/>
        <item x="50"/>
        <item x="220"/>
        <item x="187"/>
        <item x="190"/>
        <item x="102"/>
        <item x="2"/>
        <item x="166"/>
        <item x="81"/>
        <item x="115"/>
        <item x="181"/>
        <item x="83"/>
        <item x="27"/>
        <item x="216"/>
        <item x="143"/>
        <item x="44"/>
        <item x="104"/>
        <item x="26"/>
        <item x="119"/>
        <item x="194"/>
        <item x="176"/>
        <item x="142"/>
        <item x="134"/>
        <item x="188"/>
        <item x="180"/>
        <item x="87"/>
        <item x="4"/>
        <item x="28"/>
        <item x="76"/>
        <item x="118"/>
        <item x="67"/>
        <item x="72"/>
        <item x="79"/>
        <item x="152"/>
        <item x="137"/>
        <item x="37"/>
        <item x="12"/>
        <item x="39"/>
        <item x="46"/>
        <item x="33"/>
        <item x="131"/>
        <item x="170"/>
        <item x="11"/>
        <item x="78"/>
        <item x="21"/>
        <item x="123"/>
        <item x="136"/>
        <item x="113"/>
        <item x="218"/>
        <item x="193"/>
        <item x="74"/>
        <item x="24"/>
        <item x="23"/>
        <item x="201"/>
        <item x="20"/>
        <item x="160"/>
        <item x="159"/>
        <item x="150"/>
        <item x="8"/>
        <item x="22"/>
        <item x="213"/>
        <item x="114"/>
        <item x="212"/>
        <item x="15"/>
        <item x="217"/>
        <item x="154"/>
        <item x="86"/>
        <item x="41"/>
        <item x="96"/>
        <item x="66"/>
        <item x="62"/>
        <item x="48"/>
        <item x="7"/>
        <item x="209"/>
        <item x="117"/>
        <item x="64"/>
        <item x="182"/>
        <item x="125"/>
        <item x="16"/>
        <item x="130"/>
        <item x="91"/>
        <item x="3"/>
        <item x="97"/>
        <item x="51"/>
        <item x="179"/>
        <item x="141"/>
        <item x="147"/>
        <item x="168"/>
        <item x="18"/>
        <item x="121"/>
        <item x="178"/>
        <item x="90"/>
        <item x="6"/>
        <item x="31"/>
        <item x="94"/>
        <item x="200"/>
        <item x="32"/>
        <item x="149"/>
        <item x="47"/>
        <item x="153"/>
        <item x="5"/>
        <item x="177"/>
        <item x="221"/>
        <item t="default"/>
      </items>
    </pivotField>
    <pivotField showAll="0"/>
    <pivotField axis="axisPage" showAll="0">
      <items count="7">
        <item x="4"/>
        <item x="3"/>
        <item x="0"/>
        <item x="1"/>
        <item x="2"/>
        <item x="5"/>
        <item t="default"/>
      </items>
    </pivotField>
  </pivotFields>
  <rowFields count="1">
    <field x="1"/>
  </rowFields>
  <rowItems count="12">
    <i>
      <x/>
    </i>
    <i>
      <x v="1"/>
    </i>
    <i>
      <x v="2"/>
    </i>
    <i>
      <x v="3"/>
    </i>
    <i>
      <x v="4"/>
    </i>
    <i>
      <x v="5"/>
    </i>
    <i>
      <x v="6"/>
    </i>
    <i>
      <x v="7"/>
    </i>
    <i>
      <x v="8"/>
    </i>
    <i>
      <x v="9"/>
    </i>
    <i>
      <x v="10"/>
    </i>
    <i t="grand">
      <x/>
    </i>
  </rowItems>
  <colItems count="1">
    <i/>
  </colItems>
  <pageFields count="1">
    <pageField fld="6" hier="-1"/>
  </pageFields>
  <dataFields count="1">
    <dataField name="Sum of Midterm_Scor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7D60E-EBB9-4958-B67D-5A6C9645B58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36" firstHeaderRow="1" firstDataRow="1" firstDataCol="1"/>
  <pivotFields count="7">
    <pivotField showAll="0"/>
    <pivotField axis="axisRow" showAll="0">
      <items count="11">
        <item x="7"/>
        <item x="1"/>
        <item x="3"/>
        <item x="8"/>
        <item x="4"/>
        <item x="6"/>
        <item x="2"/>
        <item x="9"/>
        <item x="0"/>
        <item x="5"/>
        <item t="default"/>
      </items>
    </pivotField>
    <pivotField dataField="1" showAll="0"/>
    <pivotField showAll="0"/>
    <pivotField showAll="0"/>
    <pivotField showAll="0"/>
    <pivotField showAll="0">
      <items count="6">
        <item x="4"/>
        <item x="3"/>
        <item x="0"/>
        <item x="1"/>
        <item x="2"/>
        <item t="default"/>
      </items>
    </pivotField>
  </pivotFields>
  <rowFields count="1">
    <field x="1"/>
  </rowFields>
  <rowItems count="11">
    <i>
      <x/>
    </i>
    <i>
      <x v="1"/>
    </i>
    <i>
      <x v="2"/>
    </i>
    <i>
      <x v="3"/>
    </i>
    <i>
      <x v="4"/>
    </i>
    <i>
      <x v="5"/>
    </i>
    <i>
      <x v="6"/>
    </i>
    <i>
      <x v="7"/>
    </i>
    <i>
      <x v="8"/>
    </i>
    <i>
      <x v="9"/>
    </i>
    <i t="grand">
      <x/>
    </i>
  </rowItems>
  <colItems count="1">
    <i/>
  </colItems>
  <dataFields count="1">
    <dataField name="Sum of Attendance_Percent" fld="2"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A90FA-8933-4D44-9C61-3F0FC47DAE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3" firstHeaderRow="1" firstDataRow="1" firstDataCol="1"/>
  <pivotFields count="7">
    <pivotField showAll="0"/>
    <pivotField showAll="0"/>
    <pivotField showAll="0"/>
    <pivotField showAll="0">
      <items count="209">
        <item x="150"/>
        <item x="129"/>
        <item x="127"/>
        <item x="159"/>
        <item x="163"/>
        <item x="144"/>
        <item x="99"/>
        <item x="135"/>
        <item x="80"/>
        <item x="141"/>
        <item x="77"/>
        <item x="200"/>
        <item x="15"/>
        <item x="166"/>
        <item x="55"/>
        <item x="169"/>
        <item x="105"/>
        <item x="139"/>
        <item x="49"/>
        <item x="11"/>
        <item x="39"/>
        <item x="193"/>
        <item x="74"/>
        <item x="7"/>
        <item x="63"/>
        <item x="188"/>
        <item x="173"/>
        <item x="143"/>
        <item x="16"/>
        <item x="90"/>
        <item x="2"/>
        <item x="36"/>
        <item x="85"/>
        <item x="184"/>
        <item x="111"/>
        <item x="53"/>
        <item x="158"/>
        <item x="94"/>
        <item x="136"/>
        <item x="176"/>
        <item x="101"/>
        <item x="27"/>
        <item x="140"/>
        <item x="125"/>
        <item x="190"/>
        <item x="112"/>
        <item x="165"/>
        <item x="14"/>
        <item x="120"/>
        <item x="79"/>
        <item x="161"/>
        <item x="138"/>
        <item x="65"/>
        <item x="78"/>
        <item x="25"/>
        <item x="92"/>
        <item x="151"/>
        <item x="107"/>
        <item x="204"/>
        <item x="81"/>
        <item x="137"/>
        <item x="95"/>
        <item x="186"/>
        <item x="195"/>
        <item x="154"/>
        <item x="40"/>
        <item x="97"/>
        <item x="98"/>
        <item x="198"/>
        <item x="54"/>
        <item x="117"/>
        <item x="145"/>
        <item x="24"/>
        <item x="182"/>
        <item x="91"/>
        <item x="108"/>
        <item x="152"/>
        <item x="42"/>
        <item x="48"/>
        <item x="8"/>
        <item x="134"/>
        <item x="29"/>
        <item x="179"/>
        <item x="71"/>
        <item x="113"/>
        <item x="45"/>
        <item x="21"/>
        <item x="89"/>
        <item x="126"/>
        <item x="60"/>
        <item x="67"/>
        <item x="26"/>
        <item x="185"/>
        <item x="0"/>
        <item x="157"/>
        <item x="206"/>
        <item x="84"/>
        <item x="131"/>
        <item x="44"/>
        <item x="115"/>
        <item x="38"/>
        <item x="174"/>
        <item x="180"/>
        <item x="88"/>
        <item x="9"/>
        <item x="148"/>
        <item x="30"/>
        <item x="3"/>
        <item x="47"/>
        <item x="70"/>
        <item x="73"/>
        <item x="12"/>
        <item x="164"/>
        <item x="168"/>
        <item x="162"/>
        <item x="34"/>
        <item x="102"/>
        <item x="128"/>
        <item x="62"/>
        <item x="196"/>
        <item x="202"/>
        <item x="64"/>
        <item x="122"/>
        <item x="66"/>
        <item x="75"/>
        <item x="83"/>
        <item x="192"/>
        <item x="100"/>
        <item x="96"/>
        <item x="167"/>
        <item x="155"/>
        <item x="124"/>
        <item x="50"/>
        <item x="87"/>
        <item x="6"/>
        <item x="41"/>
        <item x="52"/>
        <item x="153"/>
        <item x="17"/>
        <item x="207"/>
        <item x="183"/>
        <item x="133"/>
        <item x="35"/>
        <item x="191"/>
        <item x="187"/>
        <item x="82"/>
        <item x="86"/>
        <item x="189"/>
        <item x="109"/>
        <item x="106"/>
        <item x="104"/>
        <item x="28"/>
        <item x="58"/>
        <item x="197"/>
        <item x="181"/>
        <item x="69"/>
        <item x="114"/>
        <item x="177"/>
        <item x="194"/>
        <item x="20"/>
        <item x="199"/>
        <item x="59"/>
        <item x="37"/>
        <item x="160"/>
        <item x="119"/>
        <item x="110"/>
        <item x="156"/>
        <item x="76"/>
        <item x="175"/>
        <item x="116"/>
        <item x="121"/>
        <item x="51"/>
        <item x="118"/>
        <item x="32"/>
        <item x="147"/>
        <item x="46"/>
        <item x="43"/>
        <item x="201"/>
        <item x="130"/>
        <item x="72"/>
        <item x="57"/>
        <item x="146"/>
        <item x="13"/>
        <item x="33"/>
        <item x="142"/>
        <item x="149"/>
        <item x="123"/>
        <item x="18"/>
        <item x="22"/>
        <item x="4"/>
        <item x="93"/>
        <item x="172"/>
        <item x="205"/>
        <item x="1"/>
        <item x="56"/>
        <item x="68"/>
        <item x="170"/>
        <item x="31"/>
        <item x="5"/>
        <item x="19"/>
        <item x="132"/>
        <item x="171"/>
        <item x="203"/>
        <item x="61"/>
        <item x="178"/>
        <item x="23"/>
        <item x="10"/>
        <item x="103"/>
        <item t="default"/>
      </items>
    </pivotField>
    <pivotField showAll="0"/>
    <pivotField dataField="1" showAll="0"/>
    <pivotField axis="axisRow" showAll="0">
      <items count="6">
        <item x="4"/>
        <item x="3"/>
        <item x="0"/>
        <item x="1"/>
        <item x="2"/>
        <item t="default"/>
      </items>
    </pivotField>
  </pivotFields>
  <rowFields count="1">
    <field x="6"/>
  </rowFields>
  <rowItems count="6">
    <i>
      <x/>
    </i>
    <i>
      <x v="1"/>
    </i>
    <i>
      <x v="2"/>
    </i>
    <i>
      <x v="3"/>
    </i>
    <i>
      <x v="4"/>
    </i>
    <i t="grand">
      <x/>
    </i>
  </rowItems>
  <colItems count="1">
    <i/>
  </colItems>
  <dataFields count="1">
    <dataField name="Count of Final_Score"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C82D58-6275-4BCB-8795-D86FEFC11D4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0:G15" firstHeaderRow="1" firstDataRow="1" firstDataCol="1"/>
  <pivotFields count="7">
    <pivotField showAll="0"/>
    <pivotField showAll="0">
      <items count="11">
        <item h="1" x="7"/>
        <item h="1" x="1"/>
        <item h="1" x="3"/>
        <item h="1" x="8"/>
        <item h="1" x="4"/>
        <item h="1" x="6"/>
        <item h="1" x="2"/>
        <item x="9"/>
        <item x="0"/>
        <item x="5"/>
        <item t="default"/>
      </items>
    </pivotField>
    <pivotField showAll="0"/>
    <pivotField dataField="1" showAll="0">
      <items count="209">
        <item x="150"/>
        <item x="129"/>
        <item x="127"/>
        <item x="159"/>
        <item x="163"/>
        <item x="144"/>
        <item x="99"/>
        <item x="135"/>
        <item x="80"/>
        <item x="141"/>
        <item x="77"/>
        <item x="200"/>
        <item x="15"/>
        <item x="166"/>
        <item x="55"/>
        <item x="169"/>
        <item x="105"/>
        <item x="139"/>
        <item x="49"/>
        <item x="11"/>
        <item x="39"/>
        <item x="193"/>
        <item x="74"/>
        <item x="7"/>
        <item x="63"/>
        <item x="188"/>
        <item x="173"/>
        <item x="143"/>
        <item x="16"/>
        <item x="90"/>
        <item x="2"/>
        <item x="36"/>
        <item x="85"/>
        <item x="184"/>
        <item x="111"/>
        <item x="53"/>
        <item x="158"/>
        <item x="94"/>
        <item x="136"/>
        <item x="176"/>
        <item x="101"/>
        <item x="27"/>
        <item x="140"/>
        <item x="125"/>
        <item x="190"/>
        <item x="112"/>
        <item x="165"/>
        <item x="14"/>
        <item x="120"/>
        <item x="79"/>
        <item x="161"/>
        <item x="138"/>
        <item x="65"/>
        <item x="78"/>
        <item x="25"/>
        <item x="92"/>
        <item x="151"/>
        <item x="107"/>
        <item x="204"/>
        <item x="81"/>
        <item x="137"/>
        <item x="95"/>
        <item x="186"/>
        <item x="195"/>
        <item x="154"/>
        <item x="40"/>
        <item x="97"/>
        <item x="98"/>
        <item x="198"/>
        <item x="54"/>
        <item x="117"/>
        <item x="145"/>
        <item x="24"/>
        <item x="182"/>
        <item x="91"/>
        <item x="108"/>
        <item x="152"/>
        <item x="42"/>
        <item x="48"/>
        <item x="8"/>
        <item x="134"/>
        <item x="29"/>
        <item x="179"/>
        <item x="71"/>
        <item x="113"/>
        <item x="45"/>
        <item x="21"/>
        <item x="89"/>
        <item x="126"/>
        <item x="60"/>
        <item x="67"/>
        <item x="26"/>
        <item x="185"/>
        <item x="0"/>
        <item x="157"/>
        <item x="206"/>
        <item x="84"/>
        <item x="131"/>
        <item x="44"/>
        <item x="115"/>
        <item x="38"/>
        <item x="174"/>
        <item x="180"/>
        <item x="88"/>
        <item x="9"/>
        <item x="148"/>
        <item x="30"/>
        <item x="3"/>
        <item x="47"/>
        <item x="70"/>
        <item x="73"/>
        <item x="12"/>
        <item x="164"/>
        <item x="168"/>
        <item x="162"/>
        <item x="34"/>
        <item x="102"/>
        <item x="128"/>
        <item x="62"/>
        <item x="196"/>
        <item x="202"/>
        <item x="64"/>
        <item x="122"/>
        <item x="66"/>
        <item x="75"/>
        <item x="83"/>
        <item x="192"/>
        <item x="100"/>
        <item x="96"/>
        <item x="167"/>
        <item x="155"/>
        <item x="124"/>
        <item x="50"/>
        <item x="87"/>
        <item x="6"/>
        <item x="41"/>
        <item x="52"/>
        <item x="153"/>
        <item x="17"/>
        <item x="207"/>
        <item x="183"/>
        <item x="133"/>
        <item x="35"/>
        <item x="191"/>
        <item x="187"/>
        <item x="82"/>
        <item x="86"/>
        <item x="189"/>
        <item x="109"/>
        <item x="106"/>
        <item x="104"/>
        <item x="28"/>
        <item x="58"/>
        <item x="197"/>
        <item x="181"/>
        <item x="69"/>
        <item x="114"/>
        <item x="177"/>
        <item x="194"/>
        <item x="20"/>
        <item x="199"/>
        <item x="59"/>
        <item x="37"/>
        <item x="160"/>
        <item x="119"/>
        <item x="110"/>
        <item x="156"/>
        <item x="76"/>
        <item x="175"/>
        <item x="116"/>
        <item x="121"/>
        <item x="51"/>
        <item x="118"/>
        <item x="32"/>
        <item x="147"/>
        <item x="46"/>
        <item x="43"/>
        <item x="201"/>
        <item x="130"/>
        <item x="72"/>
        <item x="57"/>
        <item x="146"/>
        <item x="13"/>
        <item x="33"/>
        <item x="142"/>
        <item x="149"/>
        <item x="123"/>
        <item x="18"/>
        <item x="22"/>
        <item x="4"/>
        <item x="93"/>
        <item x="172"/>
        <item x="205"/>
        <item x="1"/>
        <item x="56"/>
        <item x="68"/>
        <item x="170"/>
        <item x="31"/>
        <item x="5"/>
        <item x="19"/>
        <item x="132"/>
        <item x="171"/>
        <item x="203"/>
        <item x="61"/>
        <item x="178"/>
        <item x="23"/>
        <item x="10"/>
        <item x="103"/>
        <item t="default"/>
      </items>
    </pivotField>
    <pivotField showAll="0"/>
    <pivotField showAll="0"/>
    <pivotField axis="axisRow" showAll="0">
      <items count="6">
        <item x="4"/>
        <item x="3"/>
        <item x="0"/>
        <item x="1"/>
        <item x="2"/>
        <item t="default"/>
      </items>
    </pivotField>
  </pivotFields>
  <rowFields count="1">
    <field x="6"/>
  </rowFields>
  <rowItems count="5">
    <i>
      <x v="1"/>
    </i>
    <i>
      <x v="2"/>
    </i>
    <i>
      <x v="3"/>
    </i>
    <i>
      <x v="4"/>
    </i>
    <i t="grand">
      <x/>
    </i>
  </rowItems>
  <colItems count="1">
    <i/>
  </colItems>
  <dataFields count="1">
    <dataField name="Count of Assignment_Score"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B5ED0-4E1A-46A2-A771-C9D147B26F2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3:C24" firstHeaderRow="1" firstDataRow="1" firstDataCol="1"/>
  <pivotFields count="7">
    <pivotField dataField="1" showAll="0"/>
    <pivotField axis="axisRow" showAll="0">
      <items count="11">
        <item x="7"/>
        <item x="1"/>
        <item x="3"/>
        <item x="8"/>
        <item x="4"/>
        <item x="6"/>
        <item x="2"/>
        <item x="9"/>
        <item x="0"/>
        <item x="5"/>
        <item t="default"/>
      </items>
    </pivotField>
    <pivotField showAll="0"/>
    <pivotField showAll="0"/>
    <pivotField showAll="0"/>
    <pivotField showAll="0"/>
    <pivotField showAll="0">
      <items count="6">
        <item x="4"/>
        <item x="3"/>
        <item x="0"/>
        <item x="1"/>
        <item x="2"/>
        <item t="default"/>
      </items>
    </pivotField>
  </pivotFields>
  <rowFields count="1">
    <field x="1"/>
  </rowFields>
  <rowItems count="11">
    <i>
      <x/>
    </i>
    <i>
      <x v="1"/>
    </i>
    <i>
      <x v="2"/>
    </i>
    <i>
      <x v="3"/>
    </i>
    <i>
      <x v="4"/>
    </i>
    <i>
      <x v="5"/>
    </i>
    <i>
      <x v="6"/>
    </i>
    <i>
      <x v="7"/>
    </i>
    <i>
      <x v="8"/>
    </i>
    <i>
      <x v="9"/>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91965E-8FB3-4B79-9D7B-AB14F1EA1BD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9:C35" firstHeaderRow="1" firstDataRow="1" firstDataCol="1"/>
  <pivotFields count="7">
    <pivotField showAll="0"/>
    <pivotField showAll="0"/>
    <pivotField showAll="0">
      <items count="196">
        <item x="122"/>
        <item x="150"/>
        <item x="103"/>
        <item x="85"/>
        <item x="21"/>
        <item x="135"/>
        <item x="1"/>
        <item x="124"/>
        <item x="129"/>
        <item x="71"/>
        <item x="191"/>
        <item x="0"/>
        <item x="73"/>
        <item x="133"/>
        <item x="92"/>
        <item x="186"/>
        <item x="115"/>
        <item x="193"/>
        <item x="23"/>
        <item x="136"/>
        <item x="16"/>
        <item x="29"/>
        <item x="194"/>
        <item x="55"/>
        <item x="112"/>
        <item x="99"/>
        <item x="192"/>
        <item x="69"/>
        <item x="26"/>
        <item x="100"/>
        <item x="189"/>
        <item x="105"/>
        <item x="67"/>
        <item x="175"/>
        <item x="167"/>
        <item x="140"/>
        <item x="166"/>
        <item x="119"/>
        <item x="72"/>
        <item x="28"/>
        <item x="86"/>
        <item x="22"/>
        <item x="171"/>
        <item x="182"/>
        <item x="81"/>
        <item x="70"/>
        <item x="174"/>
        <item x="127"/>
        <item x="77"/>
        <item x="142"/>
        <item x="89"/>
        <item x="131"/>
        <item x="75"/>
        <item x="163"/>
        <item x="165"/>
        <item x="65"/>
        <item x="145"/>
        <item x="12"/>
        <item x="169"/>
        <item x="6"/>
        <item x="179"/>
        <item x="94"/>
        <item x="44"/>
        <item x="5"/>
        <item x="87"/>
        <item x="183"/>
        <item x="132"/>
        <item x="58"/>
        <item x="90"/>
        <item x="181"/>
        <item x="114"/>
        <item x="153"/>
        <item x="39"/>
        <item x="52"/>
        <item x="82"/>
        <item x="25"/>
        <item x="95"/>
        <item x="49"/>
        <item x="116"/>
        <item x="40"/>
        <item x="128"/>
        <item x="162"/>
        <item x="173"/>
        <item x="7"/>
        <item x="107"/>
        <item x="68"/>
        <item x="159"/>
        <item x="62"/>
        <item x="97"/>
        <item x="170"/>
        <item x="18"/>
        <item x="187"/>
        <item x="177"/>
        <item x="146"/>
        <item x="141"/>
        <item x="168"/>
        <item x="54"/>
        <item x="19"/>
        <item x="101"/>
        <item x="155"/>
        <item x="80"/>
        <item x="120"/>
        <item x="30"/>
        <item x="59"/>
        <item x="180"/>
        <item x="48"/>
        <item x="118"/>
        <item x="43"/>
        <item x="13"/>
        <item x="158"/>
        <item x="83"/>
        <item x="32"/>
        <item x="10"/>
        <item x="76"/>
        <item x="190"/>
        <item x="15"/>
        <item x="24"/>
        <item x="51"/>
        <item x="138"/>
        <item x="147"/>
        <item x="130"/>
        <item x="139"/>
        <item x="185"/>
        <item x="104"/>
        <item x="20"/>
        <item x="50"/>
        <item x="109"/>
        <item x="137"/>
        <item x="38"/>
        <item x="154"/>
        <item x="3"/>
        <item x="45"/>
        <item x="74"/>
        <item x="84"/>
        <item x="4"/>
        <item x="188"/>
        <item x="64"/>
        <item x="164"/>
        <item x="17"/>
        <item x="102"/>
        <item x="57"/>
        <item x="134"/>
        <item x="91"/>
        <item x="42"/>
        <item x="93"/>
        <item x="148"/>
        <item x="121"/>
        <item x="157"/>
        <item x="63"/>
        <item x="117"/>
        <item x="47"/>
        <item x="66"/>
        <item x="56"/>
        <item x="123"/>
        <item x="60"/>
        <item x="14"/>
        <item x="151"/>
        <item x="161"/>
        <item x="108"/>
        <item x="61"/>
        <item x="178"/>
        <item x="184"/>
        <item x="144"/>
        <item x="111"/>
        <item x="125"/>
        <item x="156"/>
        <item x="126"/>
        <item x="149"/>
        <item x="113"/>
        <item x="41"/>
        <item x="143"/>
        <item x="31"/>
        <item x="27"/>
        <item x="79"/>
        <item x="2"/>
        <item x="33"/>
        <item x="9"/>
        <item x="172"/>
        <item x="35"/>
        <item x="46"/>
        <item x="53"/>
        <item x="98"/>
        <item x="36"/>
        <item x="106"/>
        <item x="176"/>
        <item x="34"/>
        <item x="152"/>
        <item x="37"/>
        <item x="88"/>
        <item x="110"/>
        <item x="11"/>
        <item x="96"/>
        <item x="160"/>
        <item x="78"/>
        <item x="8"/>
        <item t="default"/>
      </items>
    </pivotField>
    <pivotField showAll="0"/>
    <pivotField showAll="0"/>
    <pivotField dataField="1" showAll="0">
      <items count="221">
        <item x="141"/>
        <item x="71"/>
        <item x="73"/>
        <item x="206"/>
        <item x="215"/>
        <item x="7"/>
        <item x="67"/>
        <item x="55"/>
        <item x="142"/>
        <item x="163"/>
        <item x="112"/>
        <item x="44"/>
        <item x="129"/>
        <item x="54"/>
        <item x="212"/>
        <item x="216"/>
        <item x="81"/>
        <item x="93"/>
        <item x="121"/>
        <item x="140"/>
        <item x="6"/>
        <item x="196"/>
        <item x="70"/>
        <item x="45"/>
        <item x="68"/>
        <item x="143"/>
        <item x="79"/>
        <item x="201"/>
        <item x="146"/>
        <item x="170"/>
        <item x="191"/>
        <item x="167"/>
        <item x="109"/>
        <item x="52"/>
        <item x="188"/>
        <item x="147"/>
        <item x="104"/>
        <item x="30"/>
        <item x="173"/>
        <item x="148"/>
        <item x="162"/>
        <item x="12"/>
        <item x="106"/>
        <item x="61"/>
        <item x="86"/>
        <item x="78"/>
        <item x="150"/>
        <item x="156"/>
        <item x="192"/>
        <item x="102"/>
        <item x="41"/>
        <item x="130"/>
        <item x="16"/>
        <item x="36"/>
        <item x="5"/>
        <item x="40"/>
        <item x="58"/>
        <item x="47"/>
        <item x="213"/>
        <item x="89"/>
        <item x="120"/>
        <item x="83"/>
        <item x="113"/>
        <item x="82"/>
        <item x="116"/>
        <item x="200"/>
        <item x="157"/>
        <item x="153"/>
        <item x="87"/>
        <item x="185"/>
        <item x="128"/>
        <item x="88"/>
        <item x="171"/>
        <item x="33"/>
        <item x="108"/>
        <item x="154"/>
        <item x="182"/>
        <item x="24"/>
        <item x="48"/>
        <item x="126"/>
        <item x="199"/>
        <item x="160"/>
        <item x="165"/>
        <item x="197"/>
        <item x="60"/>
        <item x="204"/>
        <item x="39"/>
        <item x="21"/>
        <item x="76"/>
        <item x="43"/>
        <item x="190"/>
        <item x="11"/>
        <item x="158"/>
        <item x="187"/>
        <item x="28"/>
        <item x="217"/>
        <item x="161"/>
        <item x="23"/>
        <item x="38"/>
        <item x="75"/>
        <item x="122"/>
        <item x="17"/>
        <item x="111"/>
        <item x="27"/>
        <item x="13"/>
        <item x="97"/>
        <item x="152"/>
        <item x="22"/>
        <item x="168"/>
        <item x="179"/>
        <item x="136"/>
        <item x="69"/>
        <item x="98"/>
        <item x="0"/>
        <item x="127"/>
        <item x="62"/>
        <item x="15"/>
        <item x="42"/>
        <item x="151"/>
        <item x="218"/>
        <item x="207"/>
        <item x="125"/>
        <item x="100"/>
        <item x="107"/>
        <item x="74"/>
        <item x="105"/>
        <item x="56"/>
        <item x="101"/>
        <item x="139"/>
        <item x="175"/>
        <item x="110"/>
        <item x="189"/>
        <item x="2"/>
        <item x="137"/>
        <item x="80"/>
        <item x="77"/>
        <item x="91"/>
        <item x="114"/>
        <item x="214"/>
        <item x="131"/>
        <item x="186"/>
        <item x="35"/>
        <item x="37"/>
        <item x="34"/>
        <item x="209"/>
        <item x="176"/>
        <item x="194"/>
        <item x="181"/>
        <item x="29"/>
        <item x="124"/>
        <item x="96"/>
        <item x="50"/>
        <item x="134"/>
        <item x="25"/>
        <item x="159"/>
        <item x="115"/>
        <item x="184"/>
        <item x="164"/>
        <item x="31"/>
        <item x="149"/>
        <item x="84"/>
        <item x="64"/>
        <item x="123"/>
        <item x="10"/>
        <item x="169"/>
        <item x="183"/>
        <item x="4"/>
        <item x="57"/>
        <item x="65"/>
        <item x="133"/>
        <item x="138"/>
        <item x="14"/>
        <item x="132"/>
        <item x="3"/>
        <item x="92"/>
        <item x="32"/>
        <item x="46"/>
        <item x="1"/>
        <item x="208"/>
        <item x="103"/>
        <item x="66"/>
        <item x="51"/>
        <item x="26"/>
        <item x="117"/>
        <item x="205"/>
        <item x="135"/>
        <item x="172"/>
        <item x="49"/>
        <item x="118"/>
        <item x="95"/>
        <item x="166"/>
        <item x="219"/>
        <item x="198"/>
        <item x="8"/>
        <item x="180"/>
        <item x="203"/>
        <item x="18"/>
        <item x="85"/>
        <item x="193"/>
        <item x="59"/>
        <item x="144"/>
        <item x="155"/>
        <item x="9"/>
        <item x="94"/>
        <item x="210"/>
        <item x="119"/>
        <item x="90"/>
        <item x="177"/>
        <item x="174"/>
        <item x="211"/>
        <item x="20"/>
        <item x="145"/>
        <item x="195"/>
        <item x="202"/>
        <item x="72"/>
        <item x="178"/>
        <item x="19"/>
        <item x="63"/>
        <item x="99"/>
        <item x="53"/>
        <item t="default"/>
      </items>
    </pivotField>
    <pivotField axis="axisRow" showAll="0">
      <items count="6">
        <item x="4"/>
        <item x="3"/>
        <item x="0"/>
        <item x="1"/>
        <item x="2"/>
        <item t="default"/>
      </items>
    </pivotField>
  </pivotFields>
  <rowFields count="1">
    <field x="6"/>
  </rowFields>
  <rowItems count="6">
    <i>
      <x/>
    </i>
    <i>
      <x v="1"/>
    </i>
    <i>
      <x v="2"/>
    </i>
    <i>
      <x v="3"/>
    </i>
    <i>
      <x v="4"/>
    </i>
    <i t="grand">
      <x/>
    </i>
  </rowItems>
  <colItems count="1">
    <i/>
  </colItems>
  <dataFields count="1">
    <dataField name="Count of Final_Scor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D4C3FB-F0E2-4D2C-8C7D-08C472B467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3:K24" firstHeaderRow="1" firstDataRow="1" firstDataCol="1" rowPageCount="1" colPageCount="1"/>
  <pivotFields count="7">
    <pivotField showAll="0">
      <items count="280">
        <item x="199"/>
        <item x="75"/>
        <item x="250"/>
        <item x="141"/>
        <item x="65"/>
        <item x="176"/>
        <item x="99"/>
        <item x="139"/>
        <item x="18"/>
        <item x="115"/>
        <item x="118"/>
        <item x="205"/>
        <item x="120"/>
        <item x="262"/>
        <item x="243"/>
        <item x="31"/>
        <item x="216"/>
        <item x="56"/>
        <item x="38"/>
        <item x="117"/>
        <item x="126"/>
        <item x="162"/>
        <item x="149"/>
        <item x="121"/>
        <item x="51"/>
        <item x="195"/>
        <item x="226"/>
        <item x="136"/>
        <item x="85"/>
        <item x="275"/>
        <item x="57"/>
        <item x="131"/>
        <item x="194"/>
        <item x="119"/>
        <item x="259"/>
        <item x="53"/>
        <item x="43"/>
        <item x="33"/>
        <item x="151"/>
        <item x="272"/>
        <item x="160"/>
        <item x="4"/>
        <item x="140"/>
        <item x="268"/>
        <item x="88"/>
        <item x="54"/>
        <item x="138"/>
        <item x="62"/>
        <item x="17"/>
        <item x="3"/>
        <item x="70"/>
        <item x="19"/>
        <item x="157"/>
        <item x="187"/>
        <item x="264"/>
        <item x="193"/>
        <item x="191"/>
        <item x="274"/>
        <item x="58"/>
        <item x="278"/>
        <item x="240"/>
        <item x="83"/>
        <item x="166"/>
        <item x="125"/>
        <item x="87"/>
        <item x="204"/>
        <item x="147"/>
        <item x="222"/>
        <item x="122"/>
        <item x="128"/>
        <item x="96"/>
        <item x="241"/>
        <item x="112"/>
        <item x="61"/>
        <item x="81"/>
        <item x="174"/>
        <item x="80"/>
        <item x="223"/>
        <item x="59"/>
        <item x="218"/>
        <item x="35"/>
        <item x="164"/>
        <item x="86"/>
        <item x="46"/>
        <item x="276"/>
        <item x="40"/>
        <item x="167"/>
        <item x="175"/>
        <item x="9"/>
        <item x="5"/>
        <item x="68"/>
        <item x="105"/>
        <item x="188"/>
        <item x="27"/>
        <item x="116"/>
        <item x="235"/>
        <item x="211"/>
        <item x="95"/>
        <item x="198"/>
        <item x="71"/>
        <item x="180"/>
        <item x="165"/>
        <item x="123"/>
        <item x="1"/>
        <item x="39"/>
        <item x="41"/>
        <item x="197"/>
        <item x="98"/>
        <item x="260"/>
        <item x="42"/>
        <item x="84"/>
        <item x="185"/>
        <item x="108"/>
        <item x="202"/>
        <item x="129"/>
        <item x="172"/>
        <item x="245"/>
        <item x="153"/>
        <item x="91"/>
        <item x="244"/>
        <item x="219"/>
        <item x="269"/>
        <item x="130"/>
        <item x="104"/>
        <item x="29"/>
        <item x="66"/>
        <item x="55"/>
        <item x="178"/>
        <item x="169"/>
        <item x="67"/>
        <item x="224"/>
        <item x="270"/>
        <item x="100"/>
        <item x="242"/>
        <item x="144"/>
        <item x="145"/>
        <item x="261"/>
        <item x="82"/>
        <item x="25"/>
        <item x="73"/>
        <item x="208"/>
        <item x="249"/>
        <item x="232"/>
        <item x="265"/>
        <item x="168"/>
        <item x="152"/>
        <item x="263"/>
        <item x="247"/>
        <item x="76"/>
        <item x="148"/>
        <item x="256"/>
        <item x="8"/>
        <item x="203"/>
        <item x="201"/>
        <item x="171"/>
        <item x="183"/>
        <item x="179"/>
        <item x="228"/>
        <item x="72"/>
        <item x="271"/>
        <item x="109"/>
        <item x="30"/>
        <item x="248"/>
        <item x="277"/>
        <item x="231"/>
        <item x="233"/>
        <item x="132"/>
        <item x="170"/>
        <item x="212"/>
        <item x="113"/>
        <item x="97"/>
        <item x="92"/>
        <item x="106"/>
        <item x="155"/>
        <item x="47"/>
        <item x="36"/>
        <item x="37"/>
        <item x="22"/>
        <item x="234"/>
        <item x="238"/>
        <item x="89"/>
        <item x="217"/>
        <item x="60"/>
        <item x="158"/>
        <item x="253"/>
        <item x="177"/>
        <item x="69"/>
        <item x="213"/>
        <item x="52"/>
        <item x="236"/>
        <item x="63"/>
        <item x="207"/>
        <item x="135"/>
        <item x="246"/>
        <item x="79"/>
        <item x="143"/>
        <item x="229"/>
        <item x="161"/>
        <item x="49"/>
        <item x="257"/>
        <item x="48"/>
        <item x="13"/>
        <item x="10"/>
        <item x="14"/>
        <item x="93"/>
        <item x="77"/>
        <item x="142"/>
        <item x="209"/>
        <item x="254"/>
        <item x="78"/>
        <item x="102"/>
        <item x="230"/>
        <item x="45"/>
        <item x="190"/>
        <item x="107"/>
        <item x="111"/>
        <item x="0"/>
        <item x="221"/>
        <item x="273"/>
        <item x="239"/>
        <item x="94"/>
        <item x="189"/>
        <item x="255"/>
        <item x="15"/>
        <item x="186"/>
        <item x="252"/>
        <item x="182"/>
        <item x="210"/>
        <item x="32"/>
        <item x="200"/>
        <item x="266"/>
        <item x="173"/>
        <item x="156"/>
        <item x="206"/>
        <item x="11"/>
        <item x="184"/>
        <item x="103"/>
        <item x="110"/>
        <item x="16"/>
        <item x="133"/>
        <item x="146"/>
        <item x="124"/>
        <item x="237"/>
        <item x="159"/>
        <item x="20"/>
        <item x="101"/>
        <item x="7"/>
        <item x="196"/>
        <item x="214"/>
        <item x="220"/>
        <item x="267"/>
        <item x="181"/>
        <item x="137"/>
        <item x="127"/>
        <item x="23"/>
        <item x="134"/>
        <item x="154"/>
        <item x="2"/>
        <item x="150"/>
        <item x="114"/>
        <item x="64"/>
        <item x="26"/>
        <item x="225"/>
        <item x="163"/>
        <item x="12"/>
        <item x="227"/>
        <item x="50"/>
        <item x="34"/>
        <item x="251"/>
        <item x="6"/>
        <item x="74"/>
        <item x="44"/>
        <item x="90"/>
        <item x="192"/>
        <item x="21"/>
        <item x="215"/>
        <item x="28"/>
        <item x="258"/>
        <item x="24"/>
        <item t="default"/>
      </items>
    </pivotField>
    <pivotField axis="axisRow" showAll="0">
      <items count="11">
        <item x="7"/>
        <item x="1"/>
        <item x="3"/>
        <item x="8"/>
        <item x="4"/>
        <item x="6"/>
        <item x="2"/>
        <item x="9"/>
        <item x="0"/>
        <item x="5"/>
        <item t="default"/>
      </items>
    </pivotField>
    <pivotField dataField="1" showAll="0"/>
    <pivotField showAll="0"/>
    <pivotField showAll="0"/>
    <pivotField showAll="0"/>
    <pivotField axis="axisPage" showAll="0">
      <items count="6">
        <item x="4"/>
        <item x="3"/>
        <item x="0"/>
        <item x="1"/>
        <item x="2"/>
        <item t="default"/>
      </items>
    </pivotField>
  </pivotFields>
  <rowFields count="1">
    <field x="1"/>
  </rowFields>
  <rowItems count="11">
    <i>
      <x/>
    </i>
    <i>
      <x v="1"/>
    </i>
    <i>
      <x v="2"/>
    </i>
    <i>
      <x v="3"/>
    </i>
    <i>
      <x v="4"/>
    </i>
    <i>
      <x v="5"/>
    </i>
    <i>
      <x v="6"/>
    </i>
    <i>
      <x v="7"/>
    </i>
    <i>
      <x v="8"/>
    </i>
    <i>
      <x v="9"/>
    </i>
    <i t="grand">
      <x/>
    </i>
  </rowItems>
  <colItems count="1">
    <i/>
  </colItems>
  <pageFields count="1">
    <pageField fld="6" hier="-1"/>
  </pageFields>
  <dataFields count="1">
    <dataField name="Sum of Attendance_Perce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8110E3-A7D7-4175-98A7-5A75CEA3B08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3:H19" firstHeaderRow="1" firstDataRow="1" firstDataCol="1"/>
  <pivotFields count="7">
    <pivotField showAll="0"/>
    <pivotField showAll="0"/>
    <pivotField showAll="0"/>
    <pivotField showAll="0"/>
    <pivotField showAll="0"/>
    <pivotField dataField="1" showAll="0"/>
    <pivotField axis="axisRow" showAll="0">
      <items count="6">
        <item x="4"/>
        <item x="3"/>
        <item x="0"/>
        <item x="1"/>
        <item x="2"/>
        <item t="default"/>
      </items>
    </pivotField>
  </pivotFields>
  <rowFields count="1">
    <field x="6"/>
  </rowFields>
  <rowItems count="6">
    <i>
      <x/>
    </i>
    <i>
      <x v="1"/>
    </i>
    <i>
      <x v="2"/>
    </i>
    <i>
      <x v="3"/>
    </i>
    <i>
      <x v="4"/>
    </i>
    <i t="grand">
      <x/>
    </i>
  </rowItems>
  <colItems count="1">
    <i/>
  </colItems>
  <dataFields count="1">
    <dataField name="Count of Final_Score"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76CF37-A1C9-4FEA-94CA-2A689F6C88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C24" firstHeaderRow="1" firstDataRow="1" firstDataCol="1"/>
  <pivotFields count="7">
    <pivotField dataField="1" showAll="0"/>
    <pivotField axis="axisRow" showAll="0">
      <items count="11">
        <item x="7"/>
        <item x="1"/>
        <item x="3"/>
        <item x="8"/>
        <item x="4"/>
        <item x="6"/>
        <item x="2"/>
        <item x="9"/>
        <item x="0"/>
        <item x="5"/>
        <item t="default"/>
      </items>
    </pivotField>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45007833-B6B8-41D6-A822-C81A7DC42C7D}" sourceName="Program">
  <pivotTables>
    <pivotTable tabId="6" name="PivotTable1"/>
  </pivotTables>
  <data>
    <tabular pivotCacheId="1922522091">
      <items count="11">
        <i x="7" s="1"/>
        <i x="1" s="1"/>
        <i x="3" s="1"/>
        <i x="8" s="1"/>
        <i x="4" s="1"/>
        <i x="6" s="1"/>
        <i x="2" s="1"/>
        <i x="9" s="1"/>
        <i x="0"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term_Score" xr10:uid="{BD369C99-F804-429F-B34A-A2933D0F98E2}" sourceName="Midterm_Score">
  <pivotTables>
    <pivotTable tabId="6" name="PivotTable4"/>
  </pivotTables>
  <data>
    <tabular pivotCacheId="1922522091">
      <items count="222">
        <i x="14" s="1"/>
        <i x="197" s="1"/>
        <i x="196" s="1"/>
        <i x="93" s="1"/>
        <i x="127" s="1"/>
        <i x="56" s="1"/>
        <i x="65" s="1"/>
        <i x="49" s="1"/>
        <i x="157" s="1"/>
        <i x="204" s="1"/>
        <i x="109" s="1"/>
        <i x="101" s="1"/>
        <i x="140" s="1"/>
        <i x="35" s="1"/>
        <i x="184" s="1"/>
        <i x="105" s="1"/>
        <i x="45" s="1"/>
        <i x="34" s="1"/>
        <i x="169" s="1"/>
        <i x="161" s="1"/>
        <i x="214" s="1"/>
        <i x="58" s="1"/>
        <i x="88" s="1"/>
        <i x="145" s="1"/>
        <i x="208" s="1"/>
        <i x="92" s="1"/>
        <i x="124" s="1"/>
        <i x="133" s="1"/>
        <i x="172" s="1"/>
        <i x="42" s="1"/>
        <i x="126" s="1"/>
        <i x="116" s="1"/>
        <i x="0" s="1"/>
        <i x="55" s="1"/>
        <i x="191" s="1"/>
        <i x="186" s="1"/>
        <i x="85" s="1"/>
        <i x="183" s="1"/>
        <i x="99" s="1"/>
        <i x="202" s="1"/>
        <i x="165" s="1"/>
        <i x="25" s="1"/>
        <i x="19" s="1"/>
        <i x="1" s="1"/>
        <i x="195" s="1"/>
        <i x="146" s="1"/>
        <i x="155" s="1"/>
        <i x="122" s="1"/>
        <i x="73" s="1"/>
        <i x="175" s="1"/>
        <i x="192" s="1"/>
        <i x="106" s="1"/>
        <i x="211" s="1"/>
        <i x="17" s="1"/>
        <i x="207" s="1"/>
        <i x="111" s="1"/>
        <i x="138" s="1"/>
        <i x="89" s="1"/>
        <i x="189" s="1"/>
        <i x="203" s="1"/>
        <i x="54" s="1"/>
        <i x="100" s="1"/>
        <i x="71" s="1"/>
        <i x="98" s="1"/>
        <i x="9" s="1"/>
        <i x="128" s="1"/>
        <i x="40" s="1"/>
        <i x="144" s="1"/>
        <i x="75" s="1"/>
        <i x="30" s="1"/>
        <i x="95" s="1"/>
        <i x="36" s="1"/>
        <i x="198" s="1"/>
        <i x="52" s="1"/>
        <i x="163" s="1"/>
        <i x="43" s="1"/>
        <i x="61" s="1"/>
        <i x="59" s="1"/>
        <i x="205" s="1"/>
        <i x="158" s="1"/>
        <i x="173" s="1"/>
        <i x="112" s="1"/>
        <i x="84" s="1"/>
        <i x="185" s="1"/>
        <i x="69" s="1"/>
        <i x="171" s="1"/>
        <i x="82" s="1"/>
        <i x="167" s="1"/>
        <i x="129" s="1"/>
        <i x="206" s="1"/>
        <i x="199" s="1"/>
        <i x="120" s="1"/>
        <i x="107" s="1"/>
        <i x="132" s="1"/>
        <i x="151" s="1"/>
        <i x="110" s="1"/>
        <i x="135" s="1"/>
        <i x="70" s="1"/>
        <i x="57" s="1"/>
        <i x="103" s="1"/>
        <i x="164" s="1"/>
        <i x="63" s="1"/>
        <i x="60" s="1"/>
        <i x="38" s="1"/>
        <i x="10" s="1"/>
        <i x="139" s="1"/>
        <i x="148" s="1"/>
        <i x="210" s="1"/>
        <i x="29" s="1"/>
        <i x="215" s="1"/>
        <i x="80" s="1"/>
        <i x="156" s="1"/>
        <i x="162" s="1"/>
        <i x="53" s="1"/>
        <i x="13" s="1"/>
        <i x="68" s="1"/>
        <i x="219" s="1"/>
        <i x="108" s="1"/>
        <i x="77" s="1"/>
        <i x="174" s="1"/>
        <i x="50" s="1"/>
        <i x="220" s="1"/>
        <i x="187" s="1"/>
        <i x="190" s="1"/>
        <i x="102" s="1"/>
        <i x="2" s="1"/>
        <i x="166" s="1"/>
        <i x="81" s="1"/>
        <i x="115" s="1"/>
        <i x="181" s="1"/>
        <i x="83" s="1"/>
        <i x="27" s="1"/>
        <i x="216" s="1"/>
        <i x="143" s="1"/>
        <i x="44" s="1"/>
        <i x="104" s="1"/>
        <i x="26" s="1"/>
        <i x="119" s="1"/>
        <i x="194" s="1"/>
        <i x="176" s="1"/>
        <i x="142" s="1"/>
        <i x="134" s="1"/>
        <i x="188" s="1"/>
        <i x="180" s="1"/>
        <i x="87" s="1"/>
        <i x="4" s="1"/>
        <i x="28" s="1"/>
        <i x="76" s="1"/>
        <i x="118" s="1"/>
        <i x="67" s="1"/>
        <i x="72" s="1"/>
        <i x="79" s="1"/>
        <i x="152" s="1"/>
        <i x="137" s="1"/>
        <i x="37" s="1"/>
        <i x="12" s="1"/>
        <i x="39" s="1"/>
        <i x="46" s="1"/>
        <i x="33" s="1"/>
        <i x="131" s="1"/>
        <i x="170" s="1"/>
        <i x="11" s="1"/>
        <i x="78" s="1"/>
        <i x="21" s="1"/>
        <i x="123" s="1"/>
        <i x="136" s="1"/>
        <i x="113" s="1"/>
        <i x="218" s="1"/>
        <i x="193" s="1"/>
        <i x="74" s="1"/>
        <i x="24" s="1"/>
        <i x="23" s="1"/>
        <i x="201" s="1"/>
        <i x="20" s="1"/>
        <i x="160" s="1"/>
        <i x="159" s="1"/>
        <i x="150" s="1"/>
        <i x="8" s="1"/>
        <i x="22" s="1"/>
        <i x="213" s="1"/>
        <i x="114" s="1"/>
        <i x="212" s="1"/>
        <i x="15" s="1"/>
        <i x="217" s="1"/>
        <i x="154" s="1"/>
        <i x="86" s="1"/>
        <i x="41" s="1"/>
        <i x="96" s="1"/>
        <i x="66" s="1"/>
        <i x="62" s="1"/>
        <i x="48" s="1"/>
        <i x="7" s="1"/>
        <i x="209" s="1"/>
        <i x="117" s="1"/>
        <i x="64" s="1"/>
        <i x="182" s="1"/>
        <i x="125" s="1"/>
        <i x="16" s="1"/>
        <i x="130" s="1"/>
        <i x="91" s="1"/>
        <i x="3" s="1"/>
        <i x="97" s="1"/>
        <i x="51" s="1"/>
        <i x="179" s="1"/>
        <i x="141" s="1"/>
        <i x="147" s="1"/>
        <i x="168" s="1"/>
        <i x="18" s="1"/>
        <i x="121" s="1"/>
        <i x="178" s="1"/>
        <i x="90" s="1"/>
        <i x="6" s="1"/>
        <i x="31" s="1"/>
        <i x="94" s="1"/>
        <i x="200" s="1"/>
        <i x="32" s="1"/>
        <i x="149" s="1"/>
        <i x="47" s="1"/>
        <i x="153" s="1"/>
        <i x="5" s="1"/>
        <i x="177" s="1"/>
        <i x="22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Status1" xr10:uid="{DCD66D0F-99C2-4C04-A736-9350B33B469B}" sourceName="Academic_Status">
  <pivotTables>
    <pivotTable tabId="7" name="PivotTable1"/>
    <pivotTable tabId="6" name="PivotTable6"/>
    <pivotTable tabId="6" name="PivotTable5"/>
    <pivotTable tabId="7" name="PivotTable2"/>
  </pivotTables>
  <data>
    <tabular pivotCacheId="1041305031">
      <items count="5">
        <i x="4" s="1"/>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1" xr10:uid="{3FC4E738-B116-4160-99FB-8ACBA6BB1858}" sourceName="Program">
  <pivotTables>
    <pivotTable tabId="7" name="PivotTable2"/>
  </pivotTables>
  <data>
    <tabular pivotCacheId="1041305031">
      <items count="10">
        <i x="7"/>
        <i x="1"/>
        <i x="3"/>
        <i x="8"/>
        <i x="4"/>
        <i x="6"/>
        <i x="2"/>
        <i x="9"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Percent" xr10:uid="{01010700-3479-40F3-8B80-69208C0D0A13}" sourceName="Attendance_Percent">
  <pivotTables>
    <pivotTable tabId="7" name="PivotTable3"/>
  </pivotTables>
  <data>
    <tabular pivotCacheId="1041305031">
      <items count="195">
        <i x="122" s="1"/>
        <i x="150" s="1"/>
        <i x="103" s="1"/>
        <i x="85" s="1"/>
        <i x="21" s="1"/>
        <i x="135" s="1"/>
        <i x="1" s="1"/>
        <i x="124" s="1"/>
        <i x="129" s="1"/>
        <i x="71" s="1"/>
        <i x="191" s="1"/>
        <i x="0" s="1"/>
        <i x="73" s="1"/>
        <i x="133" s="1"/>
        <i x="92" s="1"/>
        <i x="186" s="1"/>
        <i x="115" s="1"/>
        <i x="193" s="1"/>
        <i x="23" s="1"/>
        <i x="136" s="1"/>
        <i x="16" s="1"/>
        <i x="29" s="1"/>
        <i x="194" s="1"/>
        <i x="55" s="1"/>
        <i x="112" s="1"/>
        <i x="99" s="1"/>
        <i x="192" s="1"/>
        <i x="69" s="1"/>
        <i x="26" s="1"/>
        <i x="100" s="1"/>
        <i x="189" s="1"/>
        <i x="105" s="1"/>
        <i x="67" s="1"/>
        <i x="175" s="1"/>
        <i x="167" s="1"/>
        <i x="140" s="1"/>
        <i x="166" s="1"/>
        <i x="119" s="1"/>
        <i x="72" s="1"/>
        <i x="28" s="1"/>
        <i x="86" s="1"/>
        <i x="22" s="1"/>
        <i x="171" s="1"/>
        <i x="182" s="1"/>
        <i x="81" s="1"/>
        <i x="70" s="1"/>
        <i x="174" s="1"/>
        <i x="127" s="1"/>
        <i x="77" s="1"/>
        <i x="142" s="1"/>
        <i x="89" s="1"/>
        <i x="131" s="1"/>
        <i x="75" s="1"/>
        <i x="163" s="1"/>
        <i x="165" s="1"/>
        <i x="65" s="1"/>
        <i x="145" s="1"/>
        <i x="12" s="1"/>
        <i x="169" s="1"/>
        <i x="6" s="1"/>
        <i x="179" s="1"/>
        <i x="94" s="1"/>
        <i x="44" s="1"/>
        <i x="5" s="1"/>
        <i x="87" s="1"/>
        <i x="183" s="1"/>
        <i x="132" s="1"/>
        <i x="58" s="1"/>
        <i x="90" s="1"/>
        <i x="181" s="1"/>
        <i x="114" s="1"/>
        <i x="153" s="1"/>
        <i x="39" s="1"/>
        <i x="52" s="1"/>
        <i x="82" s="1"/>
        <i x="25" s="1"/>
        <i x="95" s="1"/>
        <i x="49" s="1"/>
        <i x="116" s="1"/>
        <i x="40" s="1"/>
        <i x="128" s="1"/>
        <i x="162" s="1"/>
        <i x="173" s="1"/>
        <i x="7" s="1"/>
        <i x="107" s="1"/>
        <i x="68" s="1"/>
        <i x="159" s="1"/>
        <i x="62" s="1"/>
        <i x="97" s="1"/>
        <i x="170" s="1"/>
        <i x="18" s="1"/>
        <i x="187" s="1"/>
        <i x="177" s="1"/>
        <i x="146" s="1"/>
        <i x="141" s="1"/>
        <i x="168" s="1"/>
        <i x="54" s="1"/>
        <i x="19" s="1"/>
        <i x="101" s="1"/>
        <i x="155" s="1"/>
        <i x="80" s="1"/>
        <i x="120" s="1"/>
        <i x="30" s="1"/>
        <i x="59" s="1"/>
        <i x="180" s="1"/>
        <i x="48" s="1"/>
        <i x="118" s="1"/>
        <i x="43" s="1"/>
        <i x="13" s="1"/>
        <i x="158" s="1"/>
        <i x="83" s="1"/>
        <i x="32" s="1"/>
        <i x="10" s="1"/>
        <i x="76" s="1"/>
        <i x="190" s="1"/>
        <i x="15" s="1"/>
        <i x="24" s="1"/>
        <i x="51" s="1"/>
        <i x="138" s="1"/>
        <i x="147" s="1"/>
        <i x="130" s="1"/>
        <i x="139" s="1"/>
        <i x="185" s="1"/>
        <i x="104" s="1"/>
        <i x="20" s="1"/>
        <i x="50" s="1"/>
        <i x="109" s="1"/>
        <i x="137" s="1"/>
        <i x="38" s="1"/>
        <i x="154" s="1"/>
        <i x="3" s="1"/>
        <i x="45" s="1"/>
        <i x="74" s="1"/>
        <i x="84" s="1"/>
        <i x="4" s="1"/>
        <i x="188" s="1"/>
        <i x="64" s="1"/>
        <i x="164" s="1"/>
        <i x="17" s="1"/>
        <i x="102" s="1"/>
        <i x="57" s="1"/>
        <i x="134" s="1"/>
        <i x="91" s="1"/>
        <i x="42" s="1"/>
        <i x="93" s="1"/>
        <i x="148" s="1"/>
        <i x="121" s="1"/>
        <i x="157" s="1"/>
        <i x="63" s="1"/>
        <i x="117" s="1"/>
        <i x="47" s="1"/>
        <i x="66" s="1"/>
        <i x="56" s="1"/>
        <i x="123" s="1"/>
        <i x="60" s="1"/>
        <i x="14" s="1"/>
        <i x="151" s="1"/>
        <i x="161" s="1"/>
        <i x="108" s="1"/>
        <i x="61" s="1"/>
        <i x="178" s="1"/>
        <i x="184" s="1"/>
        <i x="144" s="1"/>
        <i x="111" s="1"/>
        <i x="125" s="1"/>
        <i x="156" s="1"/>
        <i x="126" s="1"/>
        <i x="149" s="1"/>
        <i x="113" s="1"/>
        <i x="41" s="1"/>
        <i x="143" s="1"/>
        <i x="31" s="1"/>
        <i x="27" s="1"/>
        <i x="79" s="1"/>
        <i x="2" s="1"/>
        <i x="33" s="1"/>
        <i x="9" s="1"/>
        <i x="172" s="1"/>
        <i x="35" s="1"/>
        <i x="46" s="1"/>
        <i x="53" s="1"/>
        <i x="98" s="1"/>
        <i x="36" s="1"/>
        <i x="106" s="1"/>
        <i x="176" s="1"/>
        <i x="34" s="1"/>
        <i x="152" s="1"/>
        <i x="37" s="1"/>
        <i x="88" s="1"/>
        <i x="110" s="1"/>
        <i x="11" s="1"/>
        <i x="96" s="1"/>
        <i x="160" s="1"/>
        <i x="78"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2" xr10:uid="{73CE6999-81AE-4551-A8E6-DF3B149EF24A}" sourceName="Program">
  <pivotTables>
    <pivotTable tabId="11" name="PivotTable1"/>
  </pivotTables>
  <data>
    <tabular pivotCacheId="1041305031">
      <items count="10">
        <i x="7" s="1"/>
        <i x="1" s="1"/>
        <i x="3" s="1"/>
        <i x="8" s="1"/>
        <i x="4" s="1"/>
        <i x="6" s="1"/>
        <i x="2" s="1"/>
        <i x="9" s="1"/>
        <i x="0"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Status" xr10:uid="{657F79B2-2378-4F0E-81A0-6DA82C82E029}" sourceName="Academic_Status">
  <pivotTables>
    <pivotTable tabId="11" name="PivotTable2"/>
  </pivotTables>
  <data>
    <tabular pivotCacheId="1041305031">
      <items count="5">
        <i x="4" s="1"/>
        <i x="3" s="1"/>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3" xr10:uid="{2F70D46C-3DDD-4122-B4F7-590FDB931335}" sourceName="Program">
  <pivotTables>
    <pivotTable tabId="11" name="PivotTable3"/>
  </pivotTables>
  <data>
    <tabular pivotCacheId="1041305031">
      <items count="10">
        <i x="7" s="1"/>
        <i x="1" s="1"/>
        <i x="3" s="1"/>
        <i x="8" s="1"/>
        <i x="4" s="1"/>
        <i x="6" s="1"/>
        <i x="2" s="1"/>
        <i x="9"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xr10:uid="{4D9A6619-2673-4C15-B396-F5CA1A595085}" cache="Slicer_Program" caption="Program" rowHeight="241300"/>
  <slicer name="Midterm_Score" xr10:uid="{18DC91C6-458C-4C67-91A2-3FE9BBE14978}" cache="Slicer_Midterm_Score" caption="Midterm_Score" rowHeight="241300"/>
  <slicer name="Academic_Status" xr10:uid="{C3DEED0B-CBBB-49CA-8FF0-60F5BE1AC1A2}" cache="Slicer_Academic_Status1" caption="Academic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Status 1" xr10:uid="{88FB6E07-9221-4346-A1D2-58439E21AE43}" cache="Slicer_Academic_Status1" caption="Academic_Status" style="SlicerStyleLight6" rowHeight="241300"/>
  <slicer name="Academic_Status 2" xr10:uid="{98D6B31E-E061-4176-945F-374AFC6943D4}" cache="Slicer_Academic_Status1" caption="Academic_Status" rowHeight="241300"/>
  <slicer name="Program 1" xr10:uid="{B6FDD8C1-5D95-47EF-8F95-1474AEDBB526}" cache="Slicer_Program1" caption="Program" style="SlicerStyleOther2" rowHeight="241300"/>
  <slicer name="Attendance_Percent" xr10:uid="{E83266E9-3DA4-43F5-A025-BF4CF40DA70A}" cache="Slicer_Attendance_Percent" caption="Attendance_Perc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2" xr10:uid="{8318FA7A-6E80-43CB-AEA5-01CEEF358C71}" cache="Slicer_Program2" caption="Program" rowHeight="241300"/>
  <slicer name="Academic_Status 3" xr10:uid="{52F59D5D-4504-4227-AC76-F41808AA8D87}" cache="Slicer_Academic_Status" caption="Academic_Status" rowHeight="241300"/>
  <slicer name="Program 3" xr10:uid="{4583875E-E2FB-467F-A2D7-BCD0D2D4298E}" cache="Slicer_Program3" caption="Progra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05574-5BFF-4267-89BF-CDB336A1B3C5}" name="Deeqo1" displayName="Deeqo1" ref="A1:G298" headerRowDxfId="0">
  <autoFilter ref="A1:G298" xr:uid="{0FD05574-5BFF-4267-89BF-CDB336A1B3C5}"/>
  <tableColumns count="7">
    <tableColumn id="1" xr3:uid="{223A0762-1435-41C6-A511-16B37F772716}" name="Student_ID"/>
    <tableColumn id="2" xr3:uid="{CEC97FCB-272B-4084-BD29-0F117770E73D}" name="Program"/>
    <tableColumn id="3" xr3:uid="{AA319EA6-737A-41C5-94F0-E534910F1685}" name="Attendance_Percent"/>
    <tableColumn id="4" xr3:uid="{7862B095-072C-41C5-9E15-8B9730B82741}" name="Assignment_Score"/>
    <tableColumn id="5" xr3:uid="{2527BA1F-531C-4C4B-92F4-431956493602}" name="Midterm_Score"/>
    <tableColumn id="6" xr3:uid="{5A6C9F1C-B260-4BE2-B588-4A10FDE185C0}" name="Final_Score"/>
    <tableColumn id="7" xr3:uid="{7A2B39F1-CD84-4C18-9685-4E91555F0FF3}" name="Academic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CBA9-176C-460B-81F3-E592AFCD45C1}">
  <dimension ref="A1:G301"/>
  <sheetViews>
    <sheetView topLeftCell="A140" workbookViewId="0">
      <selection activeCell="C162" sqref="C162"/>
    </sheetView>
  </sheetViews>
  <sheetFormatPr defaultRowHeight="14.5"/>
  <cols>
    <col min="1" max="1" width="15.7265625" customWidth="1"/>
    <col min="2" max="2" width="24.453125" customWidth="1"/>
    <col min="3" max="3" width="24.6328125" customWidth="1"/>
    <col min="4" max="4" width="22" customWidth="1"/>
    <col min="5" max="5" width="17.90625" customWidth="1"/>
    <col min="6" max="6" width="15" customWidth="1"/>
    <col min="7" max="7" width="17.1796875" bestFit="1" customWidth="1"/>
  </cols>
  <sheetData>
    <row r="1" spans="1:7">
      <c r="A1" s="14" t="s">
        <v>13</v>
      </c>
      <c r="B1" s="14" t="s">
        <v>14</v>
      </c>
      <c r="C1" s="14" t="s">
        <v>15</v>
      </c>
      <c r="D1" s="14" t="s">
        <v>16</v>
      </c>
      <c r="E1" s="14" t="s">
        <v>17</v>
      </c>
      <c r="F1" s="14" t="s">
        <v>18</v>
      </c>
      <c r="G1" s="14" t="s">
        <v>19</v>
      </c>
    </row>
    <row r="2" spans="1:7">
      <c r="A2" t="s">
        <v>20</v>
      </c>
      <c r="B2" t="s">
        <v>21</v>
      </c>
      <c r="C2" s="15">
        <v>58.7</v>
      </c>
      <c r="D2" s="15">
        <v>69.8</v>
      </c>
      <c r="E2" s="15">
        <v>49.5</v>
      </c>
      <c r="F2" s="15"/>
      <c r="G2" t="s">
        <v>22</v>
      </c>
    </row>
    <row r="3" spans="1:7">
      <c r="A3" t="s">
        <v>23</v>
      </c>
      <c r="B3" t="s">
        <v>24</v>
      </c>
      <c r="C3" s="15">
        <v>55.6</v>
      </c>
      <c r="D3" s="15">
        <v>93.7</v>
      </c>
      <c r="E3" s="15">
        <v>52.4</v>
      </c>
      <c r="F3" s="15">
        <v>86.7</v>
      </c>
      <c r="G3" t="s">
        <v>22</v>
      </c>
    </row>
    <row r="4" spans="1:7">
      <c r="A4" t="s">
        <v>25</v>
      </c>
      <c r="B4" t="s">
        <v>21</v>
      </c>
      <c r="C4" s="15">
        <v>95.4</v>
      </c>
      <c r="D4" s="15">
        <v>53.1</v>
      </c>
      <c r="E4" s="15"/>
      <c r="F4" s="15">
        <v>76.2</v>
      </c>
      <c r="G4" t="s">
        <v>26</v>
      </c>
    </row>
    <row r="5" spans="1:7">
      <c r="A5" t="s">
        <v>27</v>
      </c>
      <c r="B5" t="s">
        <v>28</v>
      </c>
      <c r="C5" s="15">
        <v>86.7</v>
      </c>
      <c r="D5" s="15">
        <v>72.400000000000006</v>
      </c>
      <c r="E5" s="15">
        <v>71</v>
      </c>
      <c r="F5" s="15">
        <v>85.8</v>
      </c>
      <c r="G5" t="s">
        <v>26</v>
      </c>
    </row>
    <row r="6" spans="1:7">
      <c r="A6" t="s">
        <v>29</v>
      </c>
      <c r="B6" t="s">
        <v>30</v>
      </c>
      <c r="C6" s="15">
        <v>87.6</v>
      </c>
      <c r="D6" s="15">
        <v>91.8</v>
      </c>
      <c r="E6" s="15"/>
      <c r="F6" s="15">
        <v>84.7</v>
      </c>
      <c r="G6" t="s">
        <v>31</v>
      </c>
    </row>
    <row r="7" spans="1:7">
      <c r="A7" t="s">
        <v>32</v>
      </c>
      <c r="B7" t="s">
        <v>24</v>
      </c>
      <c r="C7" s="15">
        <v>74.099999999999994</v>
      </c>
      <c r="D7" s="15">
        <v>96</v>
      </c>
      <c r="E7" s="15"/>
      <c r="F7" s="15">
        <v>58</v>
      </c>
      <c r="G7" t="s">
        <v>26</v>
      </c>
    </row>
    <row r="8" spans="1:7">
      <c r="A8" t="s">
        <v>33</v>
      </c>
      <c r="B8" t="s">
        <v>34</v>
      </c>
      <c r="C8" s="15">
        <v>73.400000000000006</v>
      </c>
      <c r="D8" s="15">
        <v>77.7</v>
      </c>
      <c r="E8" s="15">
        <v>89.4</v>
      </c>
      <c r="F8" s="15">
        <v>46.4</v>
      </c>
      <c r="G8" t="s">
        <v>26</v>
      </c>
    </row>
    <row r="9" spans="1:7">
      <c r="A9" t="s">
        <v>35</v>
      </c>
      <c r="B9" t="s">
        <v>21</v>
      </c>
      <c r="C9" s="15"/>
      <c r="D9" s="15">
        <v>51.3</v>
      </c>
      <c r="E9" s="15">
        <v>75.599999999999994</v>
      </c>
      <c r="F9" s="15">
        <v>35.799999999999997</v>
      </c>
      <c r="G9" t="s">
        <v>22</v>
      </c>
    </row>
    <row r="10" spans="1:7">
      <c r="A10" t="s">
        <v>36</v>
      </c>
      <c r="B10" t="s">
        <v>30</v>
      </c>
      <c r="C10" s="15">
        <v>77.900000000000006</v>
      </c>
      <c r="D10" s="15">
        <v>65.8</v>
      </c>
      <c r="E10" s="15">
        <v>100</v>
      </c>
      <c r="F10" s="15">
        <v>91</v>
      </c>
      <c r="G10" t="s">
        <v>26</v>
      </c>
    </row>
    <row r="11" spans="1:7">
      <c r="A11" t="s">
        <v>37</v>
      </c>
      <c r="B11" t="s">
        <v>34</v>
      </c>
      <c r="C11" s="15">
        <v>100</v>
      </c>
      <c r="D11" s="15">
        <v>71.5</v>
      </c>
      <c r="E11" s="15">
        <v>94.5</v>
      </c>
      <c r="F11" s="15">
        <v>93.4</v>
      </c>
      <c r="G11" t="s">
        <v>26</v>
      </c>
    </row>
    <row r="12" spans="1:7">
      <c r="A12" t="s">
        <v>38</v>
      </c>
      <c r="B12" t="s">
        <v>21</v>
      </c>
      <c r="C12" s="15">
        <v>96.1</v>
      </c>
      <c r="D12" s="15" t="s">
        <v>39</v>
      </c>
      <c r="E12" s="15"/>
      <c r="F12" s="15">
        <v>83.8</v>
      </c>
      <c r="G12" t="s">
        <v>26</v>
      </c>
    </row>
    <row r="13" spans="1:7">
      <c r="A13" t="s">
        <v>40</v>
      </c>
      <c r="B13" t="s">
        <v>34</v>
      </c>
      <c r="C13" s="15">
        <v>83.9</v>
      </c>
      <c r="D13" s="15">
        <v>49.6</v>
      </c>
      <c r="E13" s="15">
        <v>86.8</v>
      </c>
      <c r="F13" s="15">
        <v>67</v>
      </c>
      <c r="G13" t="s">
        <v>26</v>
      </c>
    </row>
    <row r="14" spans="1:7">
      <c r="A14" t="s">
        <v>41</v>
      </c>
      <c r="C14" s="15">
        <v>98.6</v>
      </c>
      <c r="D14" s="15">
        <v>73.3</v>
      </c>
      <c r="E14" s="15">
        <v>83</v>
      </c>
      <c r="F14" s="15">
        <v>54.1</v>
      </c>
      <c r="G14" t="s">
        <v>26</v>
      </c>
    </row>
    <row r="15" spans="1:7">
      <c r="A15" t="s">
        <v>42</v>
      </c>
      <c r="B15" t="s">
        <v>30</v>
      </c>
      <c r="C15" s="15"/>
      <c r="D15" s="15">
        <v>88.4</v>
      </c>
      <c r="E15" s="15">
        <v>58.4</v>
      </c>
      <c r="F15" s="15">
        <v>85.8</v>
      </c>
      <c r="G15" t="s">
        <v>26</v>
      </c>
    </row>
    <row r="16" spans="1:7">
      <c r="A16" t="s">
        <v>43</v>
      </c>
      <c r="B16" t="s">
        <v>24</v>
      </c>
      <c r="C16" s="15">
        <v>73.099999999999994</v>
      </c>
      <c r="D16" s="15">
        <v>58.5</v>
      </c>
      <c r="E16" s="15">
        <v>66.099999999999994</v>
      </c>
      <c r="F16" s="15">
        <v>69.7</v>
      </c>
      <c r="G16" t="s">
        <v>26</v>
      </c>
    </row>
    <row r="17" spans="1:7">
      <c r="A17" t="s">
        <v>44</v>
      </c>
      <c r="B17" t="s">
        <v>34</v>
      </c>
      <c r="C17" s="15">
        <v>100</v>
      </c>
      <c r="D17" s="15">
        <v>43.6</v>
      </c>
      <c r="E17" s="15">
        <v>79</v>
      </c>
      <c r="F17" s="15">
        <v>85.6</v>
      </c>
      <c r="G17" t="s">
        <v>26</v>
      </c>
    </row>
    <row r="18" spans="1:7">
      <c r="A18" t="s">
        <v>45</v>
      </c>
      <c r="B18" t="s">
        <v>46</v>
      </c>
      <c r="C18" s="15">
        <v>83.4</v>
      </c>
      <c r="D18" s="15">
        <v>52.8</v>
      </c>
      <c r="E18" s="15">
        <v>78.099999999999994</v>
      </c>
      <c r="F18" s="15">
        <v>72.5</v>
      </c>
      <c r="G18" t="s">
        <v>26</v>
      </c>
    </row>
    <row r="19" spans="1:7">
      <c r="A19" t="s">
        <v>47</v>
      </c>
      <c r="B19" t="s">
        <v>34</v>
      </c>
      <c r="C19" s="15">
        <v>91.7</v>
      </c>
      <c r="D19" s="15">
        <v>78.3</v>
      </c>
      <c r="E19" s="15"/>
      <c r="F19" s="15">
        <v>57.3</v>
      </c>
      <c r="G19" t="s">
        <v>26</v>
      </c>
    </row>
    <row r="20" spans="1:7">
      <c r="A20" t="s">
        <v>48</v>
      </c>
      <c r="B20" t="s">
        <v>46</v>
      </c>
      <c r="C20" s="15"/>
      <c r="D20" s="15">
        <v>91</v>
      </c>
      <c r="E20" s="15">
        <v>68</v>
      </c>
      <c r="F20" s="15">
        <v>69.099999999999994</v>
      </c>
      <c r="G20" t="s">
        <v>26</v>
      </c>
    </row>
    <row r="21" spans="1:7">
      <c r="A21" t="s">
        <v>49</v>
      </c>
      <c r="B21" t="s">
        <v>30</v>
      </c>
      <c r="C21" s="15">
        <v>83.9</v>
      </c>
      <c r="D21" s="15">
        <v>96.6</v>
      </c>
      <c r="E21" s="15">
        <v>-2</v>
      </c>
      <c r="F21" s="15">
        <v>91.8</v>
      </c>
      <c r="G21" t="s">
        <v>26</v>
      </c>
    </row>
    <row r="22" spans="1:7">
      <c r="A22" t="s">
        <v>50</v>
      </c>
      <c r="B22" t="s">
        <v>34</v>
      </c>
      <c r="C22" s="15">
        <v>84.4</v>
      </c>
      <c r="D22" s="15">
        <v>82</v>
      </c>
      <c r="E22" s="15">
        <v>85.2</v>
      </c>
      <c r="F22" s="15">
        <v>100</v>
      </c>
      <c r="G22" t="s">
        <v>26</v>
      </c>
    </row>
    <row r="23" spans="1:7">
      <c r="A23" t="s">
        <v>51</v>
      </c>
      <c r="B23" t="s">
        <v>34</v>
      </c>
      <c r="C23" s="15">
        <v>63.2</v>
      </c>
      <c r="D23" s="15">
        <v>51.3</v>
      </c>
      <c r="E23" s="15">
        <v>88.6</v>
      </c>
      <c r="F23" s="15">
        <v>97.8</v>
      </c>
      <c r="G23" t="s">
        <v>22</v>
      </c>
    </row>
    <row r="24" spans="1:7">
      <c r="A24" t="s">
        <v>52</v>
      </c>
      <c r="B24" t="s">
        <v>24</v>
      </c>
      <c r="C24" s="15">
        <v>88.4</v>
      </c>
      <c r="D24" s="15">
        <v>67.599999999999994</v>
      </c>
      <c r="E24" s="15">
        <v>56</v>
      </c>
      <c r="F24" s="15">
        <v>66.2</v>
      </c>
      <c r="G24" t="s">
        <v>26</v>
      </c>
    </row>
    <row r="25" spans="1:7">
      <c r="A25" t="s">
        <v>53</v>
      </c>
      <c r="B25" t="s">
        <v>24</v>
      </c>
      <c r="C25" s="15">
        <v>79.7</v>
      </c>
      <c r="D25" s="15">
        <v>91.4</v>
      </c>
      <c r="E25" s="15">
        <v>91.7</v>
      </c>
      <c r="F25" s="15">
        <v>70.400000000000006</v>
      </c>
      <c r="G25" t="s">
        <v>26</v>
      </c>
    </row>
    <row r="26" spans="1:7">
      <c r="B26" t="s">
        <v>34</v>
      </c>
      <c r="C26" s="15">
        <v>80.900000000000006</v>
      </c>
      <c r="D26" s="15">
        <v>100</v>
      </c>
      <c r="E26" s="15">
        <v>52</v>
      </c>
      <c r="F26" s="15">
        <v>100</v>
      </c>
      <c r="G26" t="s">
        <v>26</v>
      </c>
    </row>
    <row r="27" spans="1:7">
      <c r="A27" t="s">
        <v>54</v>
      </c>
      <c r="B27" t="s">
        <v>30</v>
      </c>
      <c r="C27" s="15">
        <v>85.5</v>
      </c>
      <c r="D27" s="15">
        <v>64.3</v>
      </c>
      <c r="E27" s="15">
        <v>81.8</v>
      </c>
      <c r="F27" s="15">
        <v>68.099999999999994</v>
      </c>
      <c r="G27" t="s">
        <v>26</v>
      </c>
    </row>
    <row r="28" spans="1:7">
      <c r="A28" t="s">
        <v>55</v>
      </c>
      <c r="B28" t="s">
        <v>30</v>
      </c>
      <c r="C28" s="15"/>
      <c r="D28" s="15">
        <v>60.8</v>
      </c>
      <c r="E28" s="15">
        <v>79.5</v>
      </c>
      <c r="F28" s="15">
        <v>63</v>
      </c>
      <c r="G28" t="s">
        <v>26</v>
      </c>
    </row>
    <row r="29" spans="1:7">
      <c r="A29" t="s">
        <v>56</v>
      </c>
      <c r="B29" t="s">
        <v>30</v>
      </c>
      <c r="C29" s="15">
        <v>48.8</v>
      </c>
      <c r="D29" s="15">
        <v>69.3</v>
      </c>
      <c r="E29" s="15">
        <v>83.2</v>
      </c>
      <c r="F29" s="15">
        <v>81</v>
      </c>
    </row>
    <row r="30" spans="1:7">
      <c r="A30" t="s">
        <v>57</v>
      </c>
      <c r="B30" t="s">
        <v>34</v>
      </c>
      <c r="C30" s="15">
        <v>69.400000000000006</v>
      </c>
      <c r="D30" s="15">
        <v>56.1</v>
      </c>
      <c r="E30" s="15">
        <v>81.400000000000006</v>
      </c>
      <c r="F30" s="15"/>
      <c r="G30" t="s">
        <v>22</v>
      </c>
    </row>
    <row r="31" spans="1:7">
      <c r="A31" t="s">
        <v>58</v>
      </c>
      <c r="B31" t="s">
        <v>24</v>
      </c>
      <c r="C31" s="15">
        <v>62.8</v>
      </c>
      <c r="D31" s="15">
        <v>80.3</v>
      </c>
      <c r="E31" s="15">
        <v>81.099999999999994</v>
      </c>
      <c r="F31" s="15">
        <v>87.7</v>
      </c>
      <c r="G31" t="s">
        <v>22</v>
      </c>
    </row>
    <row r="32" spans="1:7">
      <c r="A32" t="s">
        <v>59</v>
      </c>
      <c r="B32" t="s">
        <v>28</v>
      </c>
      <c r="C32" s="15">
        <v>84.5</v>
      </c>
      <c r="D32" s="15">
        <v>100</v>
      </c>
      <c r="E32" s="15">
        <v>51.9</v>
      </c>
      <c r="F32" s="15">
        <v>69.400000000000006</v>
      </c>
      <c r="G32" t="s">
        <v>26</v>
      </c>
    </row>
    <row r="33" spans="1:7">
      <c r="A33" t="s">
        <v>60</v>
      </c>
      <c r="B33" t="s">
        <v>24</v>
      </c>
      <c r="C33" s="15">
        <v>76.2</v>
      </c>
      <c r="D33" s="15">
        <v>66.900000000000006</v>
      </c>
      <c r="E33" s="15">
        <v>72.900000000000006</v>
      </c>
      <c r="F33" s="15"/>
      <c r="G33" t="s">
        <v>26</v>
      </c>
    </row>
    <row r="34" spans="1:7">
      <c r="A34" t="s">
        <v>61</v>
      </c>
      <c r="B34" t="s">
        <v>21</v>
      </c>
      <c r="C34" s="15">
        <v>65.7</v>
      </c>
      <c r="D34" s="15">
        <v>100</v>
      </c>
      <c r="E34" s="15">
        <v>72.2</v>
      </c>
      <c r="F34" s="15">
        <v>84.7</v>
      </c>
      <c r="G34" t="s">
        <v>62</v>
      </c>
    </row>
    <row r="35" spans="1:7">
      <c r="A35" t="s">
        <v>63</v>
      </c>
      <c r="B35" t="s">
        <v>28</v>
      </c>
      <c r="C35" s="15"/>
      <c r="D35" s="15">
        <v>72.2</v>
      </c>
      <c r="E35" s="15">
        <v>75.7</v>
      </c>
      <c r="F35" s="15">
        <v>67.7</v>
      </c>
      <c r="G35" t="s">
        <v>26</v>
      </c>
    </row>
    <row r="36" spans="1:7">
      <c r="A36" t="s">
        <v>64</v>
      </c>
      <c r="B36" t="s">
        <v>30</v>
      </c>
      <c r="C36" s="15">
        <v>95</v>
      </c>
      <c r="D36" s="15">
        <v>95.2</v>
      </c>
      <c r="E36" s="15">
        <v>67</v>
      </c>
      <c r="F36" s="15">
        <v>80.099999999999994</v>
      </c>
      <c r="G36" t="s">
        <v>26</v>
      </c>
    </row>
    <row r="37" spans="1:7">
      <c r="A37" t="s">
        <v>65</v>
      </c>
      <c r="B37" t="s">
        <v>46</v>
      </c>
      <c r="C37" s="15">
        <v>68.900000000000006</v>
      </c>
      <c r="D37" s="15">
        <v>86</v>
      </c>
      <c r="E37" s="15">
        <v>59.3</v>
      </c>
      <c r="F37" s="15">
        <v>52.2</v>
      </c>
      <c r="G37" t="s">
        <v>22</v>
      </c>
    </row>
    <row r="38" spans="1:7">
      <c r="A38" t="s">
        <v>66</v>
      </c>
      <c r="B38" t="s">
        <v>21</v>
      </c>
      <c r="C38" s="15">
        <v>63.3</v>
      </c>
      <c r="D38" s="15">
        <v>89.2</v>
      </c>
      <c r="E38" s="15">
        <v>95.1</v>
      </c>
      <c r="F38" s="15">
        <v>82.9</v>
      </c>
      <c r="G38" t="s">
        <v>22</v>
      </c>
    </row>
    <row r="39" spans="1:7">
      <c r="A39" t="s">
        <v>67</v>
      </c>
      <c r="B39" t="s">
        <v>21</v>
      </c>
      <c r="C39" s="15">
        <v>82.1</v>
      </c>
      <c r="D39" s="15">
        <v>74.099999999999994</v>
      </c>
      <c r="E39" s="15">
        <v>96.2</v>
      </c>
      <c r="F39" s="15">
        <v>86.2</v>
      </c>
      <c r="G39" t="s">
        <v>26</v>
      </c>
    </row>
    <row r="40" spans="1:7">
      <c r="A40" t="s">
        <v>68</v>
      </c>
      <c r="B40" t="s">
        <v>21</v>
      </c>
      <c r="C40" s="15">
        <v>94.8</v>
      </c>
      <c r="D40" s="15">
        <v>79.099999999999994</v>
      </c>
      <c r="E40" s="15">
        <v>78.5</v>
      </c>
      <c r="F40" s="15">
        <v>62.3</v>
      </c>
      <c r="G40" t="s">
        <v>26</v>
      </c>
    </row>
    <row r="41" spans="1:7">
      <c r="A41" t="s">
        <v>69</v>
      </c>
      <c r="B41" t="s">
        <v>30</v>
      </c>
      <c r="C41" s="15">
        <v>83.8</v>
      </c>
      <c r="D41" s="15">
        <v>72.2</v>
      </c>
      <c r="E41" s="15">
        <v>44.1</v>
      </c>
      <c r="F41" s="15"/>
      <c r="G41" t="s">
        <v>22</v>
      </c>
    </row>
    <row r="42" spans="1:7">
      <c r="A42" t="s">
        <v>70</v>
      </c>
      <c r="B42" t="s">
        <v>24</v>
      </c>
      <c r="C42" s="15">
        <v>95.6</v>
      </c>
      <c r="D42" s="15">
        <v>53.2</v>
      </c>
      <c r="E42" s="15"/>
      <c r="F42" s="15">
        <v>78.7</v>
      </c>
      <c r="G42" t="s">
        <v>26</v>
      </c>
    </row>
    <row r="43" spans="1:7">
      <c r="A43" t="s">
        <v>71</v>
      </c>
      <c r="B43" t="s">
        <v>46</v>
      </c>
      <c r="C43" s="15">
        <v>97.7</v>
      </c>
      <c r="D43" s="15">
        <v>82.3</v>
      </c>
      <c r="E43" s="15">
        <v>42.3</v>
      </c>
      <c r="F43" s="15">
        <v>78.5</v>
      </c>
      <c r="G43" t="s">
        <v>26</v>
      </c>
    </row>
    <row r="44" spans="1:7">
      <c r="A44" t="s">
        <v>72</v>
      </c>
      <c r="B44" t="s">
        <v>24</v>
      </c>
      <c r="C44" s="15">
        <v>96.3</v>
      </c>
      <c r="D44" s="15">
        <v>70.900000000000006</v>
      </c>
      <c r="E44" s="15"/>
      <c r="F44" s="15">
        <v>57.9</v>
      </c>
      <c r="G44" t="s">
        <v>26</v>
      </c>
    </row>
    <row r="45" spans="1:7">
      <c r="A45" t="s">
        <v>73</v>
      </c>
      <c r="C45" s="15">
        <v>100</v>
      </c>
      <c r="D45" s="15">
        <v>50.8</v>
      </c>
      <c r="E45" s="15">
        <v>59.7</v>
      </c>
      <c r="F45" s="15">
        <v>78.599999999999994</v>
      </c>
      <c r="G45" t="s">
        <v>74</v>
      </c>
    </row>
    <row r="46" spans="1:7">
      <c r="A46" t="s">
        <v>75</v>
      </c>
      <c r="B46" t="s">
        <v>28</v>
      </c>
      <c r="C46" s="15">
        <v>82.1</v>
      </c>
      <c r="D46" s="15">
        <v>62.9</v>
      </c>
      <c r="E46" s="15">
        <v>77.900000000000006</v>
      </c>
      <c r="F46" s="15">
        <v>68.2</v>
      </c>
      <c r="G46" t="s">
        <v>26</v>
      </c>
    </row>
    <row r="47" spans="1:7">
      <c r="A47" t="s">
        <v>76</v>
      </c>
      <c r="B47" t="s">
        <v>30</v>
      </c>
      <c r="C47" s="15">
        <v>97.1</v>
      </c>
      <c r="D47" s="15">
        <v>78</v>
      </c>
      <c r="E47" s="15">
        <v>66</v>
      </c>
      <c r="F47" s="15">
        <v>66.099999999999994</v>
      </c>
      <c r="G47" t="s">
        <v>26</v>
      </c>
    </row>
    <row r="48" spans="1:7">
      <c r="A48" t="s">
        <v>77</v>
      </c>
      <c r="B48" t="s">
        <v>28</v>
      </c>
      <c r="C48" s="15">
        <v>98.1</v>
      </c>
      <c r="D48" s="15">
        <v>65</v>
      </c>
      <c r="E48" s="15">
        <v>78.3</v>
      </c>
      <c r="F48" s="15">
        <v>58.1</v>
      </c>
      <c r="G48" t="s">
        <v>26</v>
      </c>
    </row>
    <row r="49" spans="1:7">
      <c r="A49" t="s">
        <v>78</v>
      </c>
      <c r="C49" s="15">
        <v>86.4</v>
      </c>
      <c r="D49" s="15">
        <v>86.8</v>
      </c>
      <c r="E49" s="15">
        <v>58.9</v>
      </c>
      <c r="F49" s="15">
        <v>56.6</v>
      </c>
      <c r="G49" t="s">
        <v>26</v>
      </c>
    </row>
    <row r="50" spans="1:7">
      <c r="A50" t="s">
        <v>79</v>
      </c>
      <c r="B50" t="s">
        <v>46</v>
      </c>
      <c r="C50" s="15">
        <v>75.8</v>
      </c>
      <c r="D50" s="15">
        <v>70.599999999999994</v>
      </c>
      <c r="E50" s="15">
        <v>85.9</v>
      </c>
      <c r="F50" s="15">
        <v>72.7</v>
      </c>
      <c r="G50" t="s">
        <v>26</v>
      </c>
    </row>
    <row r="51" spans="1:7">
      <c r="A51" t="s">
        <v>80</v>
      </c>
      <c r="B51" t="s">
        <v>24</v>
      </c>
      <c r="C51" s="15">
        <v>77.3</v>
      </c>
      <c r="D51" s="15">
        <v>67.5</v>
      </c>
      <c r="E51" s="15">
        <v>48.8</v>
      </c>
      <c r="F51" s="15">
        <v>66.599999999999994</v>
      </c>
      <c r="G51" t="s">
        <v>26</v>
      </c>
    </row>
    <row r="52" spans="1:7">
      <c r="A52" t="s">
        <v>81</v>
      </c>
      <c r="B52" t="s">
        <v>34</v>
      </c>
      <c r="C52" s="15">
        <v>94.1</v>
      </c>
      <c r="D52" s="15">
        <v>86.7</v>
      </c>
      <c r="E52" s="15">
        <v>61</v>
      </c>
      <c r="F52" s="15">
        <v>38.700000000000003</v>
      </c>
      <c r="G52" t="s">
        <v>26</v>
      </c>
    </row>
    <row r="53" spans="1:7">
      <c r="A53" t="s">
        <v>82</v>
      </c>
      <c r="B53" t="s">
        <v>34</v>
      </c>
      <c r="C53" s="15"/>
      <c r="D53" s="15">
        <v>72.5</v>
      </c>
      <c r="E53" s="15">
        <v>72.7</v>
      </c>
      <c r="F53" s="15">
        <v>47.5</v>
      </c>
      <c r="G53" t="s">
        <v>26</v>
      </c>
    </row>
    <row r="54" spans="1:7">
      <c r="A54" t="s">
        <v>83</v>
      </c>
      <c r="B54" t="s">
        <v>30</v>
      </c>
      <c r="C54" s="15">
        <v>89.2</v>
      </c>
      <c r="D54" s="15">
        <v>65.2</v>
      </c>
      <c r="E54" s="15">
        <v>43.5</v>
      </c>
      <c r="F54" s="15"/>
      <c r="G54" t="s">
        <v>26</v>
      </c>
    </row>
    <row r="55" spans="1:7">
      <c r="A55" t="s">
        <v>84</v>
      </c>
      <c r="B55" t="s">
        <v>34</v>
      </c>
      <c r="C55" s="15">
        <v>83.3</v>
      </c>
      <c r="D55" s="15">
        <v>79.099999999999994</v>
      </c>
      <c r="E55" s="15">
        <v>78.400000000000006</v>
      </c>
      <c r="F55" s="15">
        <v>86.6</v>
      </c>
      <c r="G55" t="s">
        <v>26</v>
      </c>
    </row>
    <row r="56" spans="1:7">
      <c r="A56" t="s">
        <v>85</v>
      </c>
      <c r="B56" t="s">
        <v>21</v>
      </c>
      <c r="C56" s="15">
        <v>74</v>
      </c>
      <c r="D56" s="15">
        <v>49</v>
      </c>
      <c r="E56" s="15">
        <v>97.7</v>
      </c>
      <c r="F56" s="15">
        <v>58.8</v>
      </c>
      <c r="G56" t="s">
        <v>26</v>
      </c>
    </row>
    <row r="57" spans="1:7">
      <c r="A57" t="s">
        <v>86</v>
      </c>
      <c r="B57" t="s">
        <v>30</v>
      </c>
      <c r="C57" s="15">
        <v>86.9</v>
      </c>
      <c r="D57" s="15">
        <v>77.400000000000006</v>
      </c>
      <c r="E57" s="15">
        <v>86.7</v>
      </c>
      <c r="F57" s="15">
        <v>63.1</v>
      </c>
      <c r="G57" t="s">
        <v>26</v>
      </c>
    </row>
    <row r="58" spans="1:7">
      <c r="A58" t="s">
        <v>87</v>
      </c>
      <c r="B58" t="s">
        <v>24</v>
      </c>
      <c r="C58" s="15">
        <v>84.4</v>
      </c>
      <c r="D58" s="15">
        <v>85.3</v>
      </c>
      <c r="E58" s="15">
        <v>33.5</v>
      </c>
      <c r="F58" s="15">
        <v>100</v>
      </c>
      <c r="G58" t="s">
        <v>26</v>
      </c>
    </row>
    <row r="59" spans="1:7">
      <c r="A59" t="s">
        <v>88</v>
      </c>
      <c r="B59" t="s">
        <v>34</v>
      </c>
      <c r="C59" s="15">
        <v>96.5</v>
      </c>
      <c r="D59" s="15">
        <v>78.099999999999994</v>
      </c>
      <c r="E59" s="15">
        <v>70.3</v>
      </c>
      <c r="F59" s="15">
        <v>89.1</v>
      </c>
      <c r="G59" t="s">
        <v>26</v>
      </c>
    </row>
    <row r="60" spans="1:7">
      <c r="B60" t="s">
        <v>46</v>
      </c>
      <c r="C60" s="15">
        <v>90.7</v>
      </c>
      <c r="D60" s="15">
        <v>55</v>
      </c>
      <c r="E60" s="15">
        <v>89.8</v>
      </c>
      <c r="F60" s="15">
        <v>80.7</v>
      </c>
      <c r="G60" t="s">
        <v>26</v>
      </c>
    </row>
    <row r="61" spans="1:7">
      <c r="A61" t="s">
        <v>89</v>
      </c>
      <c r="B61" t="s">
        <v>21</v>
      </c>
      <c r="C61" s="15">
        <v>82.7</v>
      </c>
      <c r="D61" s="15">
        <v>63.9</v>
      </c>
      <c r="E61" s="15">
        <v>60.4</v>
      </c>
      <c r="F61" s="15">
        <v>87.6</v>
      </c>
      <c r="G61" t="s">
        <v>26</v>
      </c>
    </row>
    <row r="62" spans="1:7">
      <c r="A62" t="s">
        <v>90</v>
      </c>
      <c r="B62" t="s">
        <v>24</v>
      </c>
      <c r="C62" s="15">
        <v>76.599999999999994</v>
      </c>
      <c r="D62" s="15">
        <v>45.1</v>
      </c>
      <c r="E62" s="15">
        <v>67.900000000000006</v>
      </c>
      <c r="F62" s="15">
        <v>50.7</v>
      </c>
      <c r="G62" t="s">
        <v>22</v>
      </c>
    </row>
    <row r="63" spans="1:7">
      <c r="B63" t="s">
        <v>46</v>
      </c>
      <c r="C63" s="15">
        <v>87.6</v>
      </c>
      <c r="D63" s="15">
        <v>93.9</v>
      </c>
      <c r="E63" s="15">
        <v>58</v>
      </c>
      <c r="F63" s="15" t="s">
        <v>91</v>
      </c>
      <c r="G63" t="s">
        <v>26</v>
      </c>
    </row>
    <row r="64" spans="1:7">
      <c r="A64" t="s">
        <v>92</v>
      </c>
      <c r="B64" t="s">
        <v>24</v>
      </c>
      <c r="C64" s="15">
        <v>85.8</v>
      </c>
      <c r="D64" s="15">
        <v>87.9</v>
      </c>
      <c r="E64" s="15">
        <v>49.7</v>
      </c>
      <c r="F64" s="15">
        <v>40.799999999999997</v>
      </c>
      <c r="G64" t="s">
        <v>22</v>
      </c>
    </row>
    <row r="65" spans="1:7">
      <c r="A65" t="s">
        <v>93</v>
      </c>
      <c r="B65" t="s">
        <v>34</v>
      </c>
      <c r="C65" s="15">
        <v>84.6</v>
      </c>
      <c r="D65" s="15">
        <v>80.5</v>
      </c>
      <c r="E65" s="15">
        <v>32.9</v>
      </c>
      <c r="F65" s="15">
        <v>36.799999999999997</v>
      </c>
      <c r="G65" t="s">
        <v>22</v>
      </c>
    </row>
    <row r="66" spans="1:7">
      <c r="A66" t="s">
        <v>94</v>
      </c>
      <c r="B66" t="s">
        <v>46</v>
      </c>
      <c r="C66" s="15">
        <v>76</v>
      </c>
      <c r="D66" s="15">
        <v>82.2</v>
      </c>
      <c r="E66" s="15">
        <v>65.2</v>
      </c>
      <c r="F66" s="15">
        <v>75.2</v>
      </c>
      <c r="G66" t="s">
        <v>26</v>
      </c>
    </row>
    <row r="67" spans="1:7">
      <c r="A67" t="s">
        <v>95</v>
      </c>
      <c r="B67" t="s">
        <v>24</v>
      </c>
      <c r="C67" s="15">
        <v>96.6</v>
      </c>
      <c r="D67" s="15">
        <v>68.900000000000006</v>
      </c>
      <c r="E67" s="15">
        <v>45.6</v>
      </c>
      <c r="F67" s="15">
        <v>85</v>
      </c>
      <c r="G67" t="s">
        <v>74</v>
      </c>
    </row>
    <row r="68" spans="1:7">
      <c r="A68" t="s">
        <v>96</v>
      </c>
      <c r="B68" t="s">
        <v>28</v>
      </c>
      <c r="C68" s="15">
        <v>80.7</v>
      </c>
      <c r="D68" s="15">
        <v>99.4</v>
      </c>
      <c r="E68" s="15">
        <v>61.2</v>
      </c>
      <c r="F68" s="15">
        <v>58.2</v>
      </c>
      <c r="G68" t="s">
        <v>26</v>
      </c>
    </row>
    <row r="69" spans="1:7">
      <c r="A69" t="s">
        <v>97</v>
      </c>
      <c r="B69" t="s">
        <v>28</v>
      </c>
      <c r="C69" s="15">
        <v>86.4</v>
      </c>
      <c r="D69" s="15">
        <v>53.2</v>
      </c>
      <c r="E69" s="15">
        <v>65.900000000000006</v>
      </c>
      <c r="F69" s="15">
        <v>92.9</v>
      </c>
      <c r="G69" t="s">
        <v>26</v>
      </c>
    </row>
    <row r="70" spans="1:7">
      <c r="A70" t="s">
        <v>98</v>
      </c>
      <c r="B70" t="s">
        <v>28</v>
      </c>
      <c r="C70" s="15">
        <v>63.9</v>
      </c>
      <c r="D70" s="15">
        <v>100</v>
      </c>
      <c r="E70" s="15">
        <v>61.1</v>
      </c>
      <c r="F70" s="15">
        <v>65.599999999999994</v>
      </c>
      <c r="G70" t="s">
        <v>22</v>
      </c>
    </row>
    <row r="71" spans="1:7">
      <c r="A71" t="s">
        <v>99</v>
      </c>
      <c r="B71" t="s">
        <v>30</v>
      </c>
      <c r="C71" s="15">
        <v>86.7</v>
      </c>
      <c r="D71" s="15"/>
      <c r="E71" s="15">
        <v>86.4</v>
      </c>
      <c r="F71" s="15">
        <v>54.6</v>
      </c>
      <c r="G71" t="s">
        <v>26</v>
      </c>
    </row>
    <row r="72" spans="1:7">
      <c r="A72" t="s">
        <v>100</v>
      </c>
      <c r="B72" t="s">
        <v>24</v>
      </c>
      <c r="C72" s="15">
        <v>80.7</v>
      </c>
      <c r="D72" s="15">
        <v>100</v>
      </c>
      <c r="E72" s="15"/>
      <c r="F72" s="15">
        <v>72.3</v>
      </c>
      <c r="G72" t="s">
        <v>26</v>
      </c>
    </row>
    <row r="73" spans="1:7">
      <c r="A73" t="s">
        <v>101</v>
      </c>
      <c r="B73" t="s">
        <v>46</v>
      </c>
      <c r="C73" s="15">
        <v>91.1</v>
      </c>
      <c r="D73" s="15">
        <v>74.8</v>
      </c>
      <c r="E73" s="15">
        <v>65.8</v>
      </c>
      <c r="F73" s="15">
        <v>63.1</v>
      </c>
      <c r="G73" t="s">
        <v>26</v>
      </c>
    </row>
    <row r="74" spans="1:7">
      <c r="A74" t="s">
        <v>102</v>
      </c>
      <c r="C74" s="15">
        <v>88.7</v>
      </c>
      <c r="D74" s="15">
        <v>85.3</v>
      </c>
      <c r="E74" s="15">
        <v>100</v>
      </c>
      <c r="F74" s="15">
        <v>69.400000000000006</v>
      </c>
      <c r="G74" t="s">
        <v>26</v>
      </c>
    </row>
    <row r="75" spans="1:7">
      <c r="A75" t="s">
        <v>103</v>
      </c>
      <c r="B75" t="s">
        <v>34</v>
      </c>
      <c r="C75" s="15">
        <v>74.7</v>
      </c>
      <c r="D75" s="15">
        <v>51.5</v>
      </c>
      <c r="E75" s="15">
        <v>87.8</v>
      </c>
      <c r="F75" s="15">
        <v>111</v>
      </c>
      <c r="G75" t="s">
        <v>26</v>
      </c>
    </row>
    <row r="76" spans="1:7">
      <c r="A76" t="s">
        <v>104</v>
      </c>
      <c r="B76" t="s">
        <v>46</v>
      </c>
      <c r="C76" s="15"/>
      <c r="D76" s="15">
        <v>75.3</v>
      </c>
      <c r="E76" s="15" t="s">
        <v>355</v>
      </c>
      <c r="F76" s="15">
        <v>83.6</v>
      </c>
      <c r="G76" t="s">
        <v>26</v>
      </c>
    </row>
    <row r="77" spans="1:7">
      <c r="A77" t="s">
        <v>105</v>
      </c>
      <c r="B77" t="s">
        <v>30</v>
      </c>
      <c r="C77" s="15">
        <v>82.5</v>
      </c>
      <c r="D77" s="15">
        <v>60.3</v>
      </c>
      <c r="E77" s="15">
        <v>33.200000000000003</v>
      </c>
      <c r="F77" s="15">
        <v>85.2</v>
      </c>
      <c r="G77" t="s">
        <v>22</v>
      </c>
    </row>
    <row r="78" spans="1:7">
      <c r="A78" t="s">
        <v>106</v>
      </c>
      <c r="B78" t="s">
        <v>28</v>
      </c>
      <c r="C78" s="15">
        <v>91.5</v>
      </c>
      <c r="D78" s="15">
        <v>75.8</v>
      </c>
      <c r="E78" s="15">
        <v>86.3</v>
      </c>
      <c r="F78" s="15">
        <v>87.5</v>
      </c>
      <c r="G78" t="s">
        <v>26</v>
      </c>
    </row>
    <row r="79" spans="1:7">
      <c r="A79" t="s">
        <v>107</v>
      </c>
      <c r="B79" t="s">
        <v>24</v>
      </c>
      <c r="C79" s="15">
        <v>92.4</v>
      </c>
      <c r="D79" s="15">
        <v>69.099999999999994</v>
      </c>
      <c r="E79" s="15">
        <v>75.7</v>
      </c>
      <c r="F79" s="15">
        <v>36.700000000000003</v>
      </c>
      <c r="G79" t="s">
        <v>26</v>
      </c>
    </row>
    <row r="80" spans="1:7">
      <c r="A80" t="s">
        <v>108</v>
      </c>
      <c r="B80" t="s">
        <v>24</v>
      </c>
      <c r="C80" s="15">
        <v>78.8</v>
      </c>
      <c r="D80" s="15" t="s">
        <v>356</v>
      </c>
      <c r="E80" s="15">
        <v>76.8</v>
      </c>
      <c r="F80" s="15">
        <v>48.2</v>
      </c>
      <c r="G80" t="s">
        <v>26</v>
      </c>
    </row>
    <row r="81" spans="1:7">
      <c r="A81" t="s">
        <v>109</v>
      </c>
      <c r="B81" t="s">
        <v>28</v>
      </c>
      <c r="C81" s="15">
        <v>90.5</v>
      </c>
      <c r="D81" s="15"/>
      <c r="E81" s="15">
        <v>68.3</v>
      </c>
      <c r="F81" s="15">
        <v>71.2</v>
      </c>
      <c r="G81" t="s">
        <v>26</v>
      </c>
    </row>
    <row r="82" spans="1:7">
      <c r="A82" t="s">
        <v>110</v>
      </c>
      <c r="B82" t="s">
        <v>111</v>
      </c>
      <c r="C82" s="15">
        <v>88</v>
      </c>
      <c r="D82" s="15">
        <v>94.1</v>
      </c>
      <c r="E82" s="15">
        <v>62.6</v>
      </c>
      <c r="F82" s="15">
        <v>46.8</v>
      </c>
      <c r="G82" t="s">
        <v>26</v>
      </c>
    </row>
    <row r="83" spans="1:7">
      <c r="A83" t="s">
        <v>112</v>
      </c>
      <c r="B83" t="s">
        <v>30</v>
      </c>
      <c r="C83" s="15">
        <v>72.8</v>
      </c>
      <c r="D83" s="15">
        <v>81.3</v>
      </c>
      <c r="E83" s="15">
        <v>65.8</v>
      </c>
      <c r="F83" s="15">
        <v>31.9</v>
      </c>
      <c r="G83" t="s">
        <v>22</v>
      </c>
    </row>
    <row r="84" spans="1:7">
      <c r="A84" t="s">
        <v>113</v>
      </c>
      <c r="B84" t="s">
        <v>24</v>
      </c>
      <c r="C84" s="15">
        <v>90.8</v>
      </c>
      <c r="D84" s="15">
        <v>72.7</v>
      </c>
      <c r="E84" s="15">
        <v>65.099999999999994</v>
      </c>
      <c r="F84" s="15">
        <v>99</v>
      </c>
      <c r="G84" t="s">
        <v>26</v>
      </c>
    </row>
    <row r="85" spans="1:7">
      <c r="A85" t="s">
        <v>114</v>
      </c>
      <c r="B85" t="s">
        <v>46</v>
      </c>
      <c r="C85" s="15"/>
      <c r="D85" s="15">
        <v>67.3</v>
      </c>
      <c r="E85" s="15">
        <v>58.2</v>
      </c>
      <c r="F85" s="15">
        <v>33.700000000000003</v>
      </c>
      <c r="G85" t="s">
        <v>22</v>
      </c>
    </row>
    <row r="86" spans="1:7">
      <c r="A86" t="s">
        <v>115</v>
      </c>
      <c r="B86" t="s">
        <v>24</v>
      </c>
      <c r="C86" s="15">
        <v>67</v>
      </c>
      <c r="D86" s="15">
        <v>87.7</v>
      </c>
      <c r="E86" s="15">
        <v>76.900000000000006</v>
      </c>
      <c r="F86" s="15">
        <v>74.599999999999994</v>
      </c>
      <c r="G86" t="s">
        <v>22</v>
      </c>
    </row>
    <row r="87" spans="1:7">
      <c r="A87" t="s">
        <v>116</v>
      </c>
      <c r="B87" t="s">
        <v>24</v>
      </c>
      <c r="C87" s="15">
        <v>78.3</v>
      </c>
      <c r="D87" s="15">
        <v>86.8</v>
      </c>
      <c r="E87" s="15">
        <v>53.4</v>
      </c>
      <c r="F87" s="15">
        <v>68.5</v>
      </c>
    </row>
    <row r="88" spans="1:7">
      <c r="A88" t="s">
        <v>117</v>
      </c>
      <c r="C88" s="15">
        <v>83.8</v>
      </c>
      <c r="D88" s="15">
        <v>72.900000000000006</v>
      </c>
      <c r="E88" s="15">
        <v>80.900000000000006</v>
      </c>
      <c r="F88" s="15">
        <v>66.5</v>
      </c>
      <c r="G88" t="s">
        <v>26</v>
      </c>
    </row>
    <row r="89" spans="1:7">
      <c r="A89" t="s">
        <v>118</v>
      </c>
      <c r="B89" t="s">
        <v>24</v>
      </c>
      <c r="C89" s="15">
        <v>65.400000000000006</v>
      </c>
      <c r="D89" s="15">
        <v>51.2</v>
      </c>
      <c r="E89" s="15">
        <v>59.2</v>
      </c>
      <c r="F89" s="15">
        <v>76.599999999999994</v>
      </c>
      <c r="G89" t="s">
        <v>22</v>
      </c>
    </row>
    <row r="90" spans="1:7">
      <c r="B90" t="s">
        <v>30</v>
      </c>
      <c r="C90" s="15">
        <v>70.099999999999994</v>
      </c>
      <c r="D90" s="15">
        <v>75.900000000000006</v>
      </c>
      <c r="E90" s="15">
        <v>76.2</v>
      </c>
      <c r="F90" s="15">
        <v>55.4</v>
      </c>
      <c r="G90" t="s">
        <v>26</v>
      </c>
    </row>
    <row r="91" spans="1:7">
      <c r="A91" t="s">
        <v>119</v>
      </c>
      <c r="B91" t="s">
        <v>21</v>
      </c>
      <c r="C91" s="15">
        <v>57.3</v>
      </c>
      <c r="D91" s="15">
        <v>84.6</v>
      </c>
      <c r="E91" s="15">
        <v>69.7</v>
      </c>
      <c r="F91" s="15">
        <v>49.2</v>
      </c>
      <c r="G91" t="s">
        <v>22</v>
      </c>
    </row>
    <row r="92" spans="1:7">
      <c r="A92" t="s">
        <v>120</v>
      </c>
      <c r="B92" t="s">
        <v>28</v>
      </c>
      <c r="C92" s="15">
        <v>68.599999999999994</v>
      </c>
      <c r="D92" s="15">
        <v>41.9</v>
      </c>
      <c r="E92" s="15">
        <v>79.3</v>
      </c>
      <c r="F92" s="15">
        <v>52.2</v>
      </c>
    </row>
    <row r="93" spans="1:7">
      <c r="A93" t="s">
        <v>121</v>
      </c>
      <c r="B93" t="s">
        <v>34</v>
      </c>
      <c r="C93" s="15">
        <v>59</v>
      </c>
      <c r="D93" s="15">
        <v>60.4</v>
      </c>
      <c r="E93" s="15">
        <v>77</v>
      </c>
      <c r="F93" s="15" t="s">
        <v>356</v>
      </c>
      <c r="G93" t="s">
        <v>22</v>
      </c>
    </row>
    <row r="94" spans="1:7">
      <c r="A94" t="s">
        <v>122</v>
      </c>
      <c r="B94" t="s">
        <v>39</v>
      </c>
      <c r="C94" s="15"/>
      <c r="D94" s="15">
        <v>58.7</v>
      </c>
      <c r="E94" s="15">
        <v>67.2</v>
      </c>
      <c r="F94" s="15">
        <v>76.5</v>
      </c>
      <c r="G94" t="s">
        <v>26</v>
      </c>
    </row>
    <row r="95" spans="1:7">
      <c r="A95" t="s">
        <v>123</v>
      </c>
      <c r="B95" t="s">
        <v>24</v>
      </c>
      <c r="C95" s="15">
        <v>87.1</v>
      </c>
      <c r="D95" s="15">
        <v>77.400000000000006</v>
      </c>
      <c r="E95" s="15">
        <v>71.3</v>
      </c>
      <c r="F95" s="15">
        <v>42.3</v>
      </c>
      <c r="G95" t="s">
        <v>26</v>
      </c>
    </row>
    <row r="96" spans="1:7">
      <c r="A96" t="s">
        <v>124</v>
      </c>
      <c r="B96" t="s">
        <v>34</v>
      </c>
      <c r="C96" s="15">
        <v>88.4</v>
      </c>
      <c r="D96" s="15">
        <v>41</v>
      </c>
      <c r="E96" s="15">
        <v>63</v>
      </c>
      <c r="F96" s="15">
        <v>60.2</v>
      </c>
      <c r="G96" t="s">
        <v>22</v>
      </c>
    </row>
    <row r="97" spans="1:7">
      <c r="A97" t="s">
        <v>125</v>
      </c>
      <c r="B97" t="s">
        <v>46</v>
      </c>
      <c r="C97" s="15">
        <v>72.099999999999994</v>
      </c>
      <c r="D97" s="15">
        <v>61.7</v>
      </c>
      <c r="E97" s="15"/>
      <c r="F97" s="15">
        <v>59.5</v>
      </c>
      <c r="G97" t="s">
        <v>26</v>
      </c>
    </row>
    <row r="98" spans="1:7">
      <c r="A98" t="s">
        <v>126</v>
      </c>
      <c r="B98" t="s">
        <v>30</v>
      </c>
      <c r="C98" s="15">
        <v>84.1</v>
      </c>
      <c r="D98" s="15">
        <v>79.599999999999994</v>
      </c>
      <c r="E98" s="15">
        <v>71.900000000000006</v>
      </c>
      <c r="F98" s="15">
        <v>83.4</v>
      </c>
    </row>
    <row r="99" spans="1:7">
      <c r="A99" t="s">
        <v>127</v>
      </c>
      <c r="B99" t="s">
        <v>24</v>
      </c>
      <c r="C99" s="15">
        <v>70.900000000000006</v>
      </c>
      <c r="D99" s="15">
        <v>76.099999999999994</v>
      </c>
      <c r="E99" s="15">
        <v>62.4</v>
      </c>
      <c r="F99" s="15">
        <v>92.1</v>
      </c>
      <c r="G99" t="s">
        <v>26</v>
      </c>
    </row>
    <row r="100" spans="1:7">
      <c r="A100" t="s">
        <v>128</v>
      </c>
      <c r="B100" t="s">
        <v>28</v>
      </c>
      <c r="C100" s="15">
        <v>99.9</v>
      </c>
      <c r="D100" s="15">
        <v>70.900000000000006</v>
      </c>
      <c r="E100" s="15">
        <v>85.9</v>
      </c>
      <c r="F100" s="15">
        <v>54.9</v>
      </c>
      <c r="G100" t="s">
        <v>26</v>
      </c>
    </row>
    <row r="101" spans="1:7">
      <c r="A101" t="s">
        <v>129</v>
      </c>
      <c r="B101" t="s">
        <v>34</v>
      </c>
      <c r="C101" s="15">
        <v>95.3</v>
      </c>
      <c r="D101" s="15">
        <v>70.3</v>
      </c>
      <c r="E101" s="15">
        <v>50.1</v>
      </c>
      <c r="F101" s="15">
        <v>61</v>
      </c>
      <c r="G101" t="s">
        <v>26</v>
      </c>
    </row>
    <row r="102" spans="1:7">
      <c r="A102" t="s">
        <v>130</v>
      </c>
      <c r="B102" t="s">
        <v>34</v>
      </c>
      <c r="C102" s="15">
        <v>81.900000000000006</v>
      </c>
      <c r="D102" s="15">
        <v>67.3</v>
      </c>
      <c r="E102" s="15">
        <v>78.3</v>
      </c>
      <c r="F102" s="15">
        <v>62</v>
      </c>
    </row>
    <row r="103" spans="1:7">
      <c r="A103" t="s">
        <v>131</v>
      </c>
      <c r="B103" t="s">
        <v>28</v>
      </c>
      <c r="C103" s="15">
        <v>70</v>
      </c>
      <c r="D103" s="15">
        <v>53.4</v>
      </c>
      <c r="E103" s="15">
        <v>85.6</v>
      </c>
      <c r="F103" s="15">
        <v>59.1</v>
      </c>
      <c r="G103" t="s">
        <v>26</v>
      </c>
    </row>
    <row r="104" spans="1:7">
      <c r="A104" t="s">
        <v>132</v>
      </c>
      <c r="B104" t="s">
        <v>24</v>
      </c>
      <c r="C104" s="15">
        <v>100</v>
      </c>
      <c r="D104" s="15">
        <v>79.7</v>
      </c>
      <c r="E104" s="15">
        <v>75.400000000000006</v>
      </c>
      <c r="F104" s="15">
        <v>95.3</v>
      </c>
      <c r="G104" t="s">
        <v>26</v>
      </c>
    </row>
    <row r="105" spans="1:7">
      <c r="A105" t="s">
        <v>133</v>
      </c>
      <c r="B105" t="s">
        <v>21</v>
      </c>
      <c r="C105" s="15">
        <v>92.4</v>
      </c>
      <c r="D105" s="15">
        <v>50.8</v>
      </c>
      <c r="E105" s="15">
        <v>45.7</v>
      </c>
      <c r="F105" s="15">
        <v>77.2</v>
      </c>
      <c r="G105" t="s">
        <v>22</v>
      </c>
    </row>
    <row r="106" spans="1:7">
      <c r="A106" t="s">
        <v>134</v>
      </c>
      <c r="B106" t="s">
        <v>34</v>
      </c>
      <c r="C106" s="15">
        <v>76.099999999999994</v>
      </c>
      <c r="D106" s="15">
        <v>77.5</v>
      </c>
      <c r="E106" s="15">
        <v>56.8</v>
      </c>
      <c r="F106" s="15">
        <v>100</v>
      </c>
      <c r="G106" t="s">
        <v>26</v>
      </c>
    </row>
    <row r="107" spans="1:7">
      <c r="A107" t="s">
        <v>135</v>
      </c>
      <c r="B107" t="s">
        <v>28</v>
      </c>
      <c r="C107" s="15">
        <v>83.7</v>
      </c>
      <c r="D107" s="15">
        <v>71.400000000000006</v>
      </c>
      <c r="E107" s="15">
        <v>93.6</v>
      </c>
      <c r="F107" s="15">
        <v>86.1</v>
      </c>
      <c r="G107" t="s">
        <v>26</v>
      </c>
    </row>
    <row r="108" spans="1:7">
      <c r="A108" t="s">
        <v>136</v>
      </c>
      <c r="B108" t="s">
        <v>34</v>
      </c>
      <c r="C108" s="15">
        <v>87.2</v>
      </c>
      <c r="D108" s="15">
        <v>68</v>
      </c>
      <c r="E108" s="15">
        <v>88.8</v>
      </c>
      <c r="F108" s="15"/>
      <c r="G108" t="s">
        <v>26</v>
      </c>
    </row>
    <row r="109" spans="1:7">
      <c r="A109" t="s">
        <v>137</v>
      </c>
      <c r="B109" t="s">
        <v>30</v>
      </c>
      <c r="C109" s="15">
        <v>45.5</v>
      </c>
      <c r="D109" s="15">
        <v>52.9</v>
      </c>
      <c r="E109" s="15">
        <v>47.8</v>
      </c>
      <c r="F109" s="15">
        <v>45.5</v>
      </c>
      <c r="G109" t="s">
        <v>22</v>
      </c>
    </row>
    <row r="110" spans="1:7">
      <c r="B110" t="s">
        <v>30</v>
      </c>
      <c r="C110" s="15">
        <v>69.2</v>
      </c>
      <c r="D110" s="15">
        <v>64.3</v>
      </c>
      <c r="E110" s="15">
        <v>66.099999999999994</v>
      </c>
      <c r="F110" s="15">
        <v>93.6</v>
      </c>
      <c r="G110" t="s">
        <v>22</v>
      </c>
    </row>
    <row r="111" spans="1:7">
      <c r="A111" t="s">
        <v>138</v>
      </c>
      <c r="B111" t="s">
        <v>46</v>
      </c>
      <c r="C111" s="15">
        <v>85.5</v>
      </c>
      <c r="D111" s="15">
        <v>64.599999999999994</v>
      </c>
      <c r="E111" s="15">
        <v>29.6</v>
      </c>
      <c r="F111" s="15">
        <v>89.8</v>
      </c>
      <c r="G111" t="s">
        <v>26</v>
      </c>
    </row>
    <row r="112" spans="1:7">
      <c r="A112" t="s">
        <v>139</v>
      </c>
      <c r="B112" t="s">
        <v>21</v>
      </c>
      <c r="C112" s="15">
        <v>74.2</v>
      </c>
      <c r="D112" s="15">
        <v>71.400000000000006</v>
      </c>
      <c r="E112" s="15">
        <v>95.9</v>
      </c>
      <c r="F112" s="15">
        <v>80.400000000000006</v>
      </c>
      <c r="G112" t="s">
        <v>26</v>
      </c>
    </row>
    <row r="113" spans="1:7">
      <c r="A113" t="s">
        <v>140</v>
      </c>
      <c r="B113" t="s">
        <v>28</v>
      </c>
      <c r="C113" s="15">
        <v>68.900000000000006</v>
      </c>
      <c r="D113" s="15">
        <v>60.9</v>
      </c>
      <c r="E113" s="15"/>
      <c r="F113" s="15">
        <v>77.2</v>
      </c>
      <c r="G113" t="s">
        <v>22</v>
      </c>
    </row>
    <row r="114" spans="1:7">
      <c r="A114" t="s">
        <v>141</v>
      </c>
      <c r="B114" t="s">
        <v>28</v>
      </c>
      <c r="C114" s="15">
        <v>98.3</v>
      </c>
      <c r="D114" s="15">
        <v>92.3</v>
      </c>
      <c r="E114" s="15">
        <v>59.5</v>
      </c>
      <c r="F114" s="15">
        <v>69.8</v>
      </c>
      <c r="G114" t="s">
        <v>26</v>
      </c>
    </row>
    <row r="115" spans="1:7">
      <c r="A115" t="s">
        <v>142</v>
      </c>
      <c r="B115" t="s">
        <v>24</v>
      </c>
      <c r="C115" s="15">
        <v>71.8</v>
      </c>
      <c r="D115" s="15">
        <v>64.599999999999994</v>
      </c>
      <c r="E115" s="15">
        <v>86</v>
      </c>
      <c r="F115" s="15">
        <v>71.3</v>
      </c>
      <c r="G115" t="s">
        <v>26</v>
      </c>
    </row>
    <row r="116" spans="1:7">
      <c r="A116" t="s">
        <v>143</v>
      </c>
      <c r="B116" t="s">
        <v>21</v>
      </c>
      <c r="C116" s="15">
        <v>74.900000000000006</v>
      </c>
      <c r="D116" s="15">
        <v>55.3</v>
      </c>
      <c r="E116" s="15">
        <v>89.7</v>
      </c>
      <c r="F116" s="15">
        <v>114</v>
      </c>
      <c r="G116" t="s">
        <v>26</v>
      </c>
    </row>
    <row r="117" spans="1:7">
      <c r="A117" t="s">
        <v>144</v>
      </c>
      <c r="B117" t="s">
        <v>21</v>
      </c>
      <c r="C117" s="15"/>
      <c r="D117" s="15">
        <v>62.5</v>
      </c>
      <c r="E117" s="15">
        <v>69.7</v>
      </c>
      <c r="F117" s="15">
        <v>80.400000000000006</v>
      </c>
      <c r="G117" t="s">
        <v>26</v>
      </c>
    </row>
    <row r="118" spans="1:7">
      <c r="A118" t="s">
        <v>145</v>
      </c>
      <c r="B118" t="s">
        <v>30</v>
      </c>
      <c r="C118" s="15">
        <v>88.9</v>
      </c>
      <c r="D118" s="15">
        <v>68.900000000000006</v>
      </c>
      <c r="E118" s="15">
        <v>58.3</v>
      </c>
      <c r="F118" s="15">
        <v>74.400000000000006</v>
      </c>
      <c r="G118" t="s">
        <v>26</v>
      </c>
    </row>
    <row r="119" spans="1:7">
      <c r="A119" t="s">
        <v>146</v>
      </c>
      <c r="B119" t="s">
        <v>24</v>
      </c>
      <c r="C119" s="15">
        <v>60.5</v>
      </c>
      <c r="D119" s="15"/>
      <c r="E119" s="15">
        <v>78.099999999999994</v>
      </c>
      <c r="F119" s="15">
        <v>75.3</v>
      </c>
      <c r="G119" t="s">
        <v>22</v>
      </c>
    </row>
    <row r="120" spans="1:7">
      <c r="A120" t="s">
        <v>147</v>
      </c>
      <c r="B120" t="s">
        <v>34</v>
      </c>
      <c r="C120" s="15">
        <v>89.6</v>
      </c>
      <c r="D120" s="15">
        <v>53.1</v>
      </c>
      <c r="E120" s="15">
        <v>51</v>
      </c>
      <c r="F120" s="15"/>
      <c r="G120" t="s">
        <v>26</v>
      </c>
    </row>
    <row r="121" spans="1:7">
      <c r="A121" t="s">
        <v>148</v>
      </c>
      <c r="B121" t="s">
        <v>46</v>
      </c>
      <c r="C121" s="15">
        <v>73.7</v>
      </c>
      <c r="D121" s="15">
        <v>76.900000000000006</v>
      </c>
      <c r="E121" s="15">
        <v>100</v>
      </c>
      <c r="F121" s="15">
        <v>56.2</v>
      </c>
      <c r="G121" t="s">
        <v>26</v>
      </c>
    </row>
    <row r="122" spans="1:7">
      <c r="A122" t="s">
        <v>149</v>
      </c>
      <c r="B122" t="s">
        <v>24</v>
      </c>
      <c r="C122" s="15">
        <v>91.7</v>
      </c>
      <c r="D122" s="15">
        <v>63.1</v>
      </c>
      <c r="E122" s="15">
        <v>58.1</v>
      </c>
      <c r="F122" s="15">
        <v>87.1</v>
      </c>
      <c r="G122" t="s">
        <v>26</v>
      </c>
    </row>
    <row r="123" spans="1:7">
      <c r="A123" t="s">
        <v>150</v>
      </c>
      <c r="B123" t="s">
        <v>21</v>
      </c>
      <c r="C123" s="15">
        <v>76.5</v>
      </c>
      <c r="D123" s="15">
        <v>63.4</v>
      </c>
      <c r="E123" s="15">
        <v>40.4</v>
      </c>
      <c r="F123" s="15">
        <v>51.8</v>
      </c>
      <c r="G123" t="s">
        <v>22</v>
      </c>
    </row>
    <row r="124" spans="1:7">
      <c r="A124" t="s">
        <v>151</v>
      </c>
      <c r="B124" t="s">
        <v>30</v>
      </c>
      <c r="C124" s="15">
        <v>69.400000000000006</v>
      </c>
      <c r="D124" s="15">
        <v>38.5</v>
      </c>
      <c r="E124" s="15">
        <v>70.8</v>
      </c>
      <c r="F124" s="15">
        <v>74.7</v>
      </c>
      <c r="G124" t="s">
        <v>22</v>
      </c>
    </row>
    <row r="125" spans="1:7">
      <c r="A125" t="s">
        <v>152</v>
      </c>
      <c r="C125" s="15">
        <v>99.4</v>
      </c>
      <c r="D125" s="15">
        <v>76.7</v>
      </c>
      <c r="E125" s="15">
        <v>83.2</v>
      </c>
      <c r="F125" s="15">
        <v>100</v>
      </c>
      <c r="G125" t="s">
        <v>26</v>
      </c>
    </row>
    <row r="126" spans="1:7">
      <c r="B126" t="s">
        <v>28</v>
      </c>
      <c r="C126" s="15">
        <v>79.099999999999994</v>
      </c>
      <c r="D126" s="15">
        <v>55.9</v>
      </c>
      <c r="E126" s="15">
        <v>71.3</v>
      </c>
      <c r="F126" s="15">
        <v>85.2</v>
      </c>
      <c r="G126" t="s">
        <v>26</v>
      </c>
    </row>
    <row r="127" spans="1:7">
      <c r="A127" t="s">
        <v>153</v>
      </c>
      <c r="B127" t="s">
        <v>34</v>
      </c>
      <c r="C127" s="15">
        <v>96.8</v>
      </c>
      <c r="D127" s="15">
        <v>74.2</v>
      </c>
      <c r="E127" s="15">
        <v>65.400000000000006</v>
      </c>
      <c r="F127" s="15">
        <v>54.4</v>
      </c>
      <c r="G127" t="s">
        <v>26</v>
      </c>
    </row>
    <row r="128" spans="1:7">
      <c r="A128" t="s">
        <v>154</v>
      </c>
      <c r="B128" t="s">
        <v>34</v>
      </c>
      <c r="C128" s="15">
        <v>65.2</v>
      </c>
      <c r="D128" s="15" t="s">
        <v>91</v>
      </c>
      <c r="E128" s="15">
        <v>58</v>
      </c>
      <c r="F128" s="15">
        <v>91</v>
      </c>
      <c r="G128" t="s">
        <v>22</v>
      </c>
    </row>
    <row r="129" spans="1:7">
      <c r="A129" t="s">
        <v>155</v>
      </c>
      <c r="B129" t="s">
        <v>34</v>
      </c>
      <c r="C129" s="15">
        <v>82.7</v>
      </c>
      <c r="D129" s="15"/>
      <c r="E129" s="15">
        <v>76.8</v>
      </c>
      <c r="F129" s="15">
        <v>74.5</v>
      </c>
      <c r="G129" t="s">
        <v>26</v>
      </c>
    </row>
    <row r="130" spans="1:7">
      <c r="A130" t="s">
        <v>156</v>
      </c>
      <c r="B130" t="s">
        <v>34</v>
      </c>
      <c r="C130" s="15">
        <v>66.3</v>
      </c>
      <c r="D130" s="15">
        <v>80.099999999999994</v>
      </c>
      <c r="E130" s="15">
        <v>72.8</v>
      </c>
      <c r="F130" s="15"/>
      <c r="G130" t="s">
        <v>22</v>
      </c>
    </row>
    <row r="131" spans="1:7">
      <c r="A131" t="s">
        <v>157</v>
      </c>
      <c r="B131" t="s">
        <v>30</v>
      </c>
      <c r="C131" s="15">
        <v>81.400000000000006</v>
      </c>
      <c r="D131" s="15">
        <v>46.5</v>
      </c>
      <c r="E131" s="15">
        <v>43.4</v>
      </c>
      <c r="F131" s="15">
        <v>62.6</v>
      </c>
      <c r="G131" t="s">
        <v>22</v>
      </c>
    </row>
    <row r="132" spans="1:7">
      <c r="A132" t="s">
        <v>158</v>
      </c>
      <c r="B132" t="s">
        <v>30</v>
      </c>
      <c r="C132" s="15">
        <v>88.6</v>
      </c>
      <c r="D132" s="15">
        <v>77.400000000000006</v>
      </c>
      <c r="E132" s="15">
        <v>54.8</v>
      </c>
      <c r="F132" s="15">
        <v>50.6</v>
      </c>
      <c r="G132" t="s">
        <v>26</v>
      </c>
    </row>
    <row r="133" spans="1:7">
      <c r="A133" t="s">
        <v>159</v>
      </c>
      <c r="B133" t="s">
        <v>21</v>
      </c>
      <c r="C133" s="15">
        <v>41.3</v>
      </c>
      <c r="D133" s="15">
        <v>80</v>
      </c>
      <c r="E133" s="15">
        <v>64.099999999999994</v>
      </c>
      <c r="F133" s="15">
        <v>68.5</v>
      </c>
      <c r="G133" t="s">
        <v>22</v>
      </c>
    </row>
    <row r="134" spans="1:7">
      <c r="A134" t="s">
        <v>160</v>
      </c>
      <c r="B134" t="s">
        <v>34</v>
      </c>
      <c r="C134" s="15">
        <v>85.4</v>
      </c>
      <c r="D134" s="15">
        <v>61.4</v>
      </c>
      <c r="E134" s="15">
        <v>77.900000000000006</v>
      </c>
      <c r="F134" s="15">
        <v>76</v>
      </c>
      <c r="G134" t="s">
        <v>26</v>
      </c>
    </row>
    <row r="135" spans="1:7">
      <c r="A135" t="s">
        <v>161</v>
      </c>
      <c r="B135" t="s">
        <v>24</v>
      </c>
      <c r="C135" s="15"/>
      <c r="D135" s="15">
        <v>64.7</v>
      </c>
      <c r="E135" s="15">
        <v>69.5</v>
      </c>
      <c r="F135" s="15">
        <v>69.3</v>
      </c>
      <c r="G135" t="s">
        <v>26</v>
      </c>
    </row>
    <row r="136" spans="1:7">
      <c r="B136" t="s">
        <v>24</v>
      </c>
      <c r="C136" s="15">
        <v>66.8</v>
      </c>
      <c r="D136" s="15">
        <v>79.900000000000006</v>
      </c>
      <c r="E136" s="15">
        <v>39.6</v>
      </c>
      <c r="F136" s="15">
        <v>37.6</v>
      </c>
      <c r="G136" t="s">
        <v>22</v>
      </c>
    </row>
    <row r="137" spans="1:7">
      <c r="A137" t="s">
        <v>162</v>
      </c>
      <c r="B137" t="s">
        <v>24</v>
      </c>
      <c r="C137" s="15">
        <v>97.2</v>
      </c>
      <c r="D137" s="15">
        <v>91.4</v>
      </c>
      <c r="E137" s="15">
        <v>64.7</v>
      </c>
      <c r="F137" s="15">
        <v>60</v>
      </c>
      <c r="G137" t="s">
        <v>26</v>
      </c>
    </row>
    <row r="138" spans="1:7">
      <c r="A138" t="s">
        <v>163</v>
      </c>
      <c r="B138" t="s">
        <v>24</v>
      </c>
      <c r="C138" s="15">
        <v>100</v>
      </c>
      <c r="D138" s="15">
        <v>83.4</v>
      </c>
      <c r="E138" s="15">
        <v>78.5</v>
      </c>
      <c r="F138" s="15">
        <v>77.400000000000006</v>
      </c>
      <c r="G138" t="s">
        <v>26</v>
      </c>
    </row>
    <row r="139" spans="1:7">
      <c r="A139" t="s">
        <v>164</v>
      </c>
      <c r="B139" t="s">
        <v>24</v>
      </c>
      <c r="C139" s="15">
        <v>78</v>
      </c>
      <c r="D139" s="15">
        <v>54.4</v>
      </c>
      <c r="E139" s="15">
        <v>56.4</v>
      </c>
      <c r="F139" s="15">
        <v>82.6</v>
      </c>
      <c r="G139" t="s">
        <v>26</v>
      </c>
    </row>
    <row r="140" spans="1:7">
      <c r="A140" t="s">
        <v>165</v>
      </c>
      <c r="C140" s="15">
        <v>92.2</v>
      </c>
      <c r="D140" s="15">
        <v>79.7</v>
      </c>
      <c r="E140" s="15">
        <v>62</v>
      </c>
      <c r="F140" s="15">
        <v>60.3</v>
      </c>
      <c r="G140" t="s">
        <v>26</v>
      </c>
    </row>
    <row r="141" spans="1:7">
      <c r="A141" t="s">
        <v>166</v>
      </c>
      <c r="B141" t="s">
        <v>28</v>
      </c>
      <c r="C141" s="15">
        <v>86</v>
      </c>
      <c r="D141" s="15">
        <v>57.7</v>
      </c>
      <c r="E141" s="15">
        <v>59.3</v>
      </c>
      <c r="F141" s="15">
        <v>87.8</v>
      </c>
      <c r="G141" t="s">
        <v>26</v>
      </c>
    </row>
    <row r="142" spans="1:7">
      <c r="A142" t="s">
        <v>167</v>
      </c>
      <c r="B142" t="s">
        <v>355</v>
      </c>
      <c r="C142" s="15">
        <v>100</v>
      </c>
      <c r="D142" s="15">
        <v>67.400000000000006</v>
      </c>
      <c r="E142" s="15">
        <v>80</v>
      </c>
      <c r="F142" s="15">
        <v>89.4</v>
      </c>
      <c r="G142" t="s">
        <v>26</v>
      </c>
    </row>
    <row r="143" spans="1:7">
      <c r="A143" t="s">
        <v>95</v>
      </c>
      <c r="B143" t="s">
        <v>24</v>
      </c>
      <c r="C143" s="15">
        <v>96.6</v>
      </c>
      <c r="D143" s="15"/>
      <c r="E143" s="15">
        <v>45.6</v>
      </c>
      <c r="F143" s="15">
        <v>85</v>
      </c>
      <c r="G143" t="s">
        <v>26</v>
      </c>
    </row>
    <row r="144" spans="1:7">
      <c r="A144" t="s">
        <v>168</v>
      </c>
      <c r="B144" t="s">
        <v>28</v>
      </c>
      <c r="C144" s="15">
        <v>98.5</v>
      </c>
      <c r="D144" s="15">
        <v>60.9</v>
      </c>
      <c r="E144" s="15">
        <v>83.8</v>
      </c>
      <c r="F144" s="15">
        <v>94.9</v>
      </c>
      <c r="G144" t="s">
        <v>26</v>
      </c>
    </row>
    <row r="145" spans="1:7">
      <c r="A145" t="s">
        <v>169</v>
      </c>
      <c r="B145" t="s">
        <v>30</v>
      </c>
      <c r="C145" s="15">
        <v>83.4</v>
      </c>
      <c r="D145" s="15">
        <v>81.400000000000006</v>
      </c>
      <c r="E145" s="15">
        <v>71.5</v>
      </c>
      <c r="F145" s="15">
        <v>59.3</v>
      </c>
    </row>
    <row r="146" spans="1:7">
      <c r="A146" t="s">
        <v>170</v>
      </c>
      <c r="C146" s="15">
        <v>93.2</v>
      </c>
      <c r="D146" s="15">
        <v>70.8</v>
      </c>
      <c r="E146" s="15">
        <v>49.3</v>
      </c>
      <c r="F146" s="15">
        <v>45.8</v>
      </c>
      <c r="G146" t="s">
        <v>22</v>
      </c>
    </row>
    <row r="147" spans="1:7">
      <c r="A147" t="s">
        <v>171</v>
      </c>
      <c r="B147" t="s">
        <v>24</v>
      </c>
      <c r="C147" s="15">
        <v>65</v>
      </c>
      <c r="D147" s="15">
        <v>84.9</v>
      </c>
      <c r="E147" s="15">
        <v>87.5</v>
      </c>
      <c r="F147" s="15">
        <v>89.8</v>
      </c>
      <c r="G147" t="s">
        <v>22</v>
      </c>
    </row>
    <row r="148" spans="1:7">
      <c r="A148" t="s">
        <v>172</v>
      </c>
      <c r="B148" t="s">
        <v>28</v>
      </c>
      <c r="C148" s="15">
        <v>100</v>
      </c>
      <c r="D148" s="15">
        <v>64.099999999999994</v>
      </c>
      <c r="E148" s="15">
        <v>76.599999999999994</v>
      </c>
      <c r="F148" s="15">
        <v>68.599999999999994</v>
      </c>
      <c r="G148" t="s">
        <v>26</v>
      </c>
    </row>
    <row r="149" spans="1:7">
      <c r="A149" t="s">
        <v>173</v>
      </c>
      <c r="B149" t="s">
        <v>21</v>
      </c>
      <c r="C149" s="15">
        <v>94</v>
      </c>
      <c r="D149" s="15">
        <v>85.7</v>
      </c>
      <c r="E149" s="15">
        <v>73</v>
      </c>
      <c r="F149" s="15">
        <v>83.7</v>
      </c>
      <c r="G149" t="s">
        <v>26</v>
      </c>
    </row>
    <row r="150" spans="1:7">
      <c r="A150" t="s">
        <v>174</v>
      </c>
      <c r="B150" t="s">
        <v>34</v>
      </c>
      <c r="C150" s="15"/>
      <c r="D150" s="15">
        <v>82.8</v>
      </c>
      <c r="E150" s="15">
        <v>52.4</v>
      </c>
      <c r="F150" s="15">
        <v>80.3</v>
      </c>
      <c r="G150" t="s">
        <v>26</v>
      </c>
    </row>
    <row r="151" spans="1:7">
      <c r="A151" t="s">
        <v>29</v>
      </c>
      <c r="B151" t="s">
        <v>30</v>
      </c>
      <c r="C151" s="15">
        <v>87.6</v>
      </c>
      <c r="D151" s="15">
        <v>91.8</v>
      </c>
      <c r="E151" s="15">
        <v>64</v>
      </c>
      <c r="F151" s="15">
        <v>84.7</v>
      </c>
      <c r="G151" t="s">
        <v>26</v>
      </c>
    </row>
    <row r="152" spans="1:7">
      <c r="A152" t="s">
        <v>175</v>
      </c>
      <c r="B152" t="s">
        <v>30</v>
      </c>
      <c r="C152" s="15">
        <v>75.400000000000006</v>
      </c>
      <c r="D152" s="15">
        <v>58.6</v>
      </c>
      <c r="E152" s="15">
        <v>92.1</v>
      </c>
      <c r="F152" s="15">
        <v>74.2</v>
      </c>
      <c r="G152" t="s">
        <v>26</v>
      </c>
    </row>
    <row r="153" spans="1:7">
      <c r="A153" t="s">
        <v>176</v>
      </c>
      <c r="B153" t="s">
        <v>30</v>
      </c>
      <c r="C153" s="15">
        <v>74.900000000000006</v>
      </c>
      <c r="D153" s="15">
        <v>85.2</v>
      </c>
      <c r="E153" s="15"/>
      <c r="F153" s="15">
        <v>64.099999999999994</v>
      </c>
      <c r="G153" t="s">
        <v>26</v>
      </c>
    </row>
    <row r="154" spans="1:7">
      <c r="A154" t="s">
        <v>177</v>
      </c>
      <c r="B154" t="s">
        <v>30</v>
      </c>
      <c r="C154" s="15">
        <v>61.5</v>
      </c>
      <c r="D154" s="15">
        <v>75.7</v>
      </c>
      <c r="E154" s="15">
        <v>53.3</v>
      </c>
      <c r="F154" s="15">
        <v>72</v>
      </c>
      <c r="G154" t="s">
        <v>22</v>
      </c>
    </row>
    <row r="155" spans="1:7">
      <c r="B155" t="s">
        <v>46</v>
      </c>
      <c r="C155" s="15">
        <v>77.2</v>
      </c>
      <c r="D155" s="15">
        <v>90.9</v>
      </c>
      <c r="E155" s="15">
        <v>79.7</v>
      </c>
      <c r="F155" s="15">
        <v>61.9</v>
      </c>
      <c r="G155" t="s">
        <v>26</v>
      </c>
    </row>
    <row r="156" spans="1:7">
      <c r="A156" t="s">
        <v>178</v>
      </c>
      <c r="B156" t="s">
        <v>46</v>
      </c>
      <c r="C156" s="15">
        <v>90.6</v>
      </c>
      <c r="D156" s="15">
        <v>60.9</v>
      </c>
      <c r="E156" s="15">
        <v>48</v>
      </c>
      <c r="F156" s="15">
        <v>39.200000000000003</v>
      </c>
      <c r="G156" t="s">
        <v>22</v>
      </c>
    </row>
    <row r="157" spans="1:7">
      <c r="A157" t="s">
        <v>179</v>
      </c>
      <c r="B157" t="s">
        <v>34</v>
      </c>
      <c r="C157" s="15">
        <v>83.1</v>
      </c>
      <c r="D157" s="15">
        <v>77.3</v>
      </c>
      <c r="E157" s="15">
        <v>78.400000000000006</v>
      </c>
      <c r="F157" s="15">
        <v>57.1</v>
      </c>
      <c r="G157" t="s">
        <v>26</v>
      </c>
    </row>
    <row r="158" spans="1:7">
      <c r="A158" t="s">
        <v>180</v>
      </c>
      <c r="C158" s="15">
        <v>68.5</v>
      </c>
      <c r="D158" s="15">
        <v>57</v>
      </c>
      <c r="E158" s="15">
        <v>88.3</v>
      </c>
      <c r="F158" s="15">
        <v>77.599999999999994</v>
      </c>
      <c r="G158" t="s">
        <v>91</v>
      </c>
    </row>
    <row r="159" spans="1:7">
      <c r="A159" t="s">
        <v>181</v>
      </c>
      <c r="B159" t="s">
        <v>182</v>
      </c>
      <c r="C159" s="15">
        <v>78.3</v>
      </c>
      <c r="D159" s="15">
        <v>57</v>
      </c>
      <c r="E159" s="15">
        <v>49</v>
      </c>
      <c r="F159" s="15">
        <v>85.7</v>
      </c>
      <c r="G159" t="s">
        <v>26</v>
      </c>
    </row>
    <row r="160" spans="1:7">
      <c r="B160" t="s">
        <v>34</v>
      </c>
      <c r="C160" s="15">
        <v>82</v>
      </c>
      <c r="D160" s="15">
        <v>68.8</v>
      </c>
      <c r="E160" s="15">
        <v>31.2</v>
      </c>
      <c r="F160" s="15">
        <v>85.3</v>
      </c>
      <c r="G160" t="s">
        <v>26</v>
      </c>
    </row>
    <row r="161" spans="1:7">
      <c r="A161" t="s">
        <v>183</v>
      </c>
      <c r="B161" t="s">
        <v>28</v>
      </c>
      <c r="C161" s="15">
        <v>73.400000000000006</v>
      </c>
      <c r="D161" s="15">
        <v>23.5</v>
      </c>
      <c r="E161" s="15">
        <v>58.7</v>
      </c>
      <c r="F161" s="15">
        <v>80.8</v>
      </c>
      <c r="G161" t="s">
        <v>22</v>
      </c>
    </row>
    <row r="162" spans="1:7">
      <c r="A162" t="s">
        <v>184</v>
      </c>
      <c r="B162" t="s">
        <v>21</v>
      </c>
      <c r="C162" s="15">
        <v>90</v>
      </c>
      <c r="D162" s="15">
        <v>74.7</v>
      </c>
      <c r="E162" s="15">
        <v>64.099999999999994</v>
      </c>
      <c r="F162" s="15">
        <v>87.7</v>
      </c>
      <c r="G162" t="s">
        <v>26</v>
      </c>
    </row>
    <row r="163" spans="1:7">
      <c r="A163" t="s">
        <v>137</v>
      </c>
      <c r="B163" t="s">
        <v>30</v>
      </c>
      <c r="C163" s="15">
        <v>45.5</v>
      </c>
      <c r="D163" s="15">
        <v>-1</v>
      </c>
      <c r="E163" s="15">
        <v>47.8</v>
      </c>
      <c r="F163" s="15">
        <v>45.5</v>
      </c>
      <c r="G163" t="s">
        <v>185</v>
      </c>
    </row>
    <row r="164" spans="1:7">
      <c r="A164" t="s">
        <v>186</v>
      </c>
      <c r="B164" t="s">
        <v>30</v>
      </c>
      <c r="C164" s="15">
        <v>90</v>
      </c>
      <c r="D164" s="15">
        <v>87.2</v>
      </c>
      <c r="E164" s="15"/>
      <c r="F164" s="15">
        <v>88.9</v>
      </c>
      <c r="G164" t="s">
        <v>26</v>
      </c>
    </row>
    <row r="165" spans="1:7">
      <c r="A165" t="s">
        <v>187</v>
      </c>
      <c r="B165" t="s">
        <v>30</v>
      </c>
      <c r="C165" s="15">
        <v>74</v>
      </c>
      <c r="D165" s="15">
        <v>60.3</v>
      </c>
      <c r="E165" s="15">
        <v>63.5</v>
      </c>
      <c r="F165" s="15">
        <v>71</v>
      </c>
      <c r="G165" t="s">
        <v>26</v>
      </c>
    </row>
    <row r="166" spans="1:7">
      <c r="A166" t="s">
        <v>188</v>
      </c>
      <c r="B166" t="s">
        <v>24</v>
      </c>
      <c r="C166" s="15">
        <v>-5</v>
      </c>
      <c r="D166" s="15">
        <v>70.400000000000006</v>
      </c>
      <c r="E166" s="15">
        <v>88.7</v>
      </c>
      <c r="F166" s="15">
        <v>76.400000000000006</v>
      </c>
      <c r="G166" t="s">
        <v>22</v>
      </c>
    </row>
    <row r="167" spans="1:7">
      <c r="A167" t="s">
        <v>189</v>
      </c>
      <c r="B167" t="s">
        <v>24</v>
      </c>
      <c r="C167" s="15">
        <v>91.4</v>
      </c>
      <c r="D167" s="15">
        <v>82</v>
      </c>
      <c r="E167" s="15">
        <v>78.599999999999994</v>
      </c>
      <c r="F167" s="15">
        <v>85.4</v>
      </c>
      <c r="G167" t="s">
        <v>26</v>
      </c>
    </row>
    <row r="168" spans="1:7">
      <c r="A168" t="s">
        <v>190</v>
      </c>
      <c r="B168" t="s">
        <v>21</v>
      </c>
      <c r="C168" s="15">
        <v>57</v>
      </c>
      <c r="D168" s="15">
        <v>86</v>
      </c>
      <c r="E168" s="15">
        <v>64.400000000000006</v>
      </c>
      <c r="F168" s="15">
        <v>75.599999999999994</v>
      </c>
      <c r="G168" t="s">
        <v>22</v>
      </c>
    </row>
    <row r="169" spans="1:7">
      <c r="A169" t="s">
        <v>191</v>
      </c>
      <c r="B169" t="s">
        <v>34</v>
      </c>
      <c r="C169" s="15">
        <v>77.900000000000006</v>
      </c>
      <c r="D169" s="15">
        <v>97.9</v>
      </c>
      <c r="E169" s="15">
        <v>48.1</v>
      </c>
      <c r="F169" s="15">
        <v>46</v>
      </c>
      <c r="G169" t="s">
        <v>26</v>
      </c>
    </row>
    <row r="170" spans="1:7">
      <c r="B170" t="s">
        <v>24</v>
      </c>
      <c r="C170" s="15">
        <v>100</v>
      </c>
      <c r="D170" s="15">
        <v>65.8</v>
      </c>
      <c r="E170" s="15">
        <v>79</v>
      </c>
      <c r="F170" s="15">
        <v>67.7</v>
      </c>
      <c r="G170" t="s">
        <v>26</v>
      </c>
    </row>
    <row r="171" spans="1:7">
      <c r="A171" t="s">
        <v>192</v>
      </c>
      <c r="B171" t="s">
        <v>21</v>
      </c>
      <c r="C171" s="15">
        <v>100</v>
      </c>
      <c r="D171" s="15">
        <v>75.7</v>
      </c>
      <c r="E171" s="15">
        <v>66</v>
      </c>
      <c r="F171" s="15">
        <v>75.2</v>
      </c>
      <c r="G171" t="s">
        <v>26</v>
      </c>
    </row>
    <row r="172" spans="1:7">
      <c r="A172" t="s">
        <v>193</v>
      </c>
      <c r="B172" t="s">
        <v>28</v>
      </c>
      <c r="C172" s="15">
        <v>93.3</v>
      </c>
      <c r="D172" s="15">
        <v>79</v>
      </c>
      <c r="E172" s="15">
        <v>74.2</v>
      </c>
      <c r="F172" s="15">
        <v>27.5</v>
      </c>
      <c r="G172" t="s">
        <v>26</v>
      </c>
    </row>
    <row r="173" spans="1:7">
      <c r="A173" t="s">
        <v>194</v>
      </c>
      <c r="B173" t="s">
        <v>34</v>
      </c>
      <c r="C173" s="15">
        <v>93.5</v>
      </c>
      <c r="D173" s="15">
        <v>65.900000000000006</v>
      </c>
      <c r="E173" s="15">
        <v>81.8</v>
      </c>
      <c r="F173" s="15">
        <v>37.200000000000003</v>
      </c>
    </row>
    <row r="174" spans="1:7">
      <c r="A174" t="s">
        <v>195</v>
      </c>
      <c r="B174" t="s">
        <v>46</v>
      </c>
      <c r="C174" s="15">
        <v>79.099999999999994</v>
      </c>
      <c r="D174" s="15">
        <v>39</v>
      </c>
      <c r="E174" s="15">
        <v>65</v>
      </c>
      <c r="F174" s="15">
        <v>71.2</v>
      </c>
      <c r="G174" t="s">
        <v>22</v>
      </c>
    </row>
    <row r="175" spans="1:7">
      <c r="A175" t="s">
        <v>196</v>
      </c>
      <c r="B175" t="s">
        <v>30</v>
      </c>
      <c r="C175" s="15">
        <v>70</v>
      </c>
      <c r="D175" s="15">
        <v>55.4</v>
      </c>
      <c r="E175" s="15">
        <v>79.8</v>
      </c>
      <c r="F175" s="15">
        <v>68.5</v>
      </c>
      <c r="G175" t="s">
        <v>26</v>
      </c>
    </row>
    <row r="176" spans="1:7">
      <c r="A176" t="s">
        <v>197</v>
      </c>
      <c r="B176" t="s">
        <v>34</v>
      </c>
      <c r="C176" s="15">
        <v>70.7</v>
      </c>
      <c r="D176" s="15">
        <v>62</v>
      </c>
      <c r="E176" s="15">
        <v>77.8</v>
      </c>
      <c r="F176" s="15">
        <v>49</v>
      </c>
      <c r="G176" t="s">
        <v>26</v>
      </c>
    </row>
    <row r="177" spans="1:7">
      <c r="A177" t="s">
        <v>198</v>
      </c>
      <c r="B177" t="s">
        <v>34</v>
      </c>
      <c r="C177" s="15">
        <v>77.599999999999994</v>
      </c>
      <c r="D177" s="15">
        <v>60.2</v>
      </c>
      <c r="E177" s="15">
        <v>56.7</v>
      </c>
      <c r="F177" s="15"/>
      <c r="G177" t="s">
        <v>26</v>
      </c>
    </row>
    <row r="178" spans="1:7">
      <c r="A178" t="s">
        <v>199</v>
      </c>
      <c r="B178" t="s">
        <v>30</v>
      </c>
      <c r="C178" s="15">
        <v>57.2</v>
      </c>
      <c r="D178" s="15"/>
      <c r="E178" s="15">
        <v>60.4</v>
      </c>
      <c r="F178" s="15">
        <v>93</v>
      </c>
      <c r="G178" t="s">
        <v>22</v>
      </c>
    </row>
    <row r="179" spans="1:7">
      <c r="A179" t="s">
        <v>200</v>
      </c>
      <c r="B179" t="s">
        <v>21</v>
      </c>
      <c r="C179" s="15">
        <v>85</v>
      </c>
      <c r="D179" s="15">
        <v>47.5</v>
      </c>
      <c r="E179" s="15">
        <v>66.2</v>
      </c>
      <c r="F179" s="15">
        <v>98</v>
      </c>
      <c r="G179" t="s">
        <v>26</v>
      </c>
    </row>
    <row r="180" spans="1:7">
      <c r="A180" t="s">
        <v>201</v>
      </c>
      <c r="B180" t="s">
        <v>46</v>
      </c>
      <c r="C180" s="15">
        <v>71.900000000000006</v>
      </c>
      <c r="D180" s="15">
        <v>56.3</v>
      </c>
      <c r="E180" s="15">
        <v>41.9</v>
      </c>
      <c r="F180" s="15">
        <v>75.599999999999994</v>
      </c>
      <c r="G180" t="s">
        <v>22</v>
      </c>
    </row>
    <row r="181" spans="1:7">
      <c r="B181" t="s">
        <v>24</v>
      </c>
      <c r="C181" s="15">
        <v>74.599999999999994</v>
      </c>
      <c r="D181" s="15">
        <v>65.900000000000006</v>
      </c>
      <c r="E181" s="15">
        <v>90.9</v>
      </c>
      <c r="F181" s="15">
        <v>49.6</v>
      </c>
      <c r="G181" t="s">
        <v>26</v>
      </c>
    </row>
    <row r="182" spans="1:7">
      <c r="A182" t="s">
        <v>202</v>
      </c>
      <c r="B182" t="s">
        <v>34</v>
      </c>
      <c r="C182" s="15">
        <v>83.3</v>
      </c>
      <c r="D182" s="15">
        <v>41.4</v>
      </c>
      <c r="E182" s="15">
        <v>74.099999999999994</v>
      </c>
      <c r="F182" s="15">
        <v>51.5</v>
      </c>
      <c r="G182" t="s">
        <v>22</v>
      </c>
    </row>
    <row r="183" spans="1:7">
      <c r="A183" t="s">
        <v>203</v>
      </c>
      <c r="B183" t="s">
        <v>24</v>
      </c>
      <c r="C183" s="15">
        <v>65</v>
      </c>
      <c r="D183" s="15">
        <v>89.3</v>
      </c>
      <c r="E183" s="15">
        <v>76.8</v>
      </c>
      <c r="F183" s="15">
        <v>53</v>
      </c>
      <c r="G183" t="s">
        <v>22</v>
      </c>
    </row>
    <row r="184" spans="1:7">
      <c r="A184" t="s">
        <v>204</v>
      </c>
      <c r="B184" t="s">
        <v>30</v>
      </c>
      <c r="C184" s="15">
        <v>70.7</v>
      </c>
      <c r="D184" s="15">
        <v>52.3</v>
      </c>
      <c r="E184" s="15">
        <v>88.7</v>
      </c>
      <c r="F184" s="15">
        <v>83</v>
      </c>
      <c r="G184" t="s">
        <v>26</v>
      </c>
    </row>
    <row r="185" spans="1:7">
      <c r="A185" t="s">
        <v>205</v>
      </c>
      <c r="B185" t="s">
        <v>206</v>
      </c>
      <c r="C185" s="15">
        <v>59.4</v>
      </c>
      <c r="D185" s="15"/>
      <c r="E185" s="15">
        <v>79.7</v>
      </c>
      <c r="F185" s="15">
        <v>55.7</v>
      </c>
      <c r="G185" t="s">
        <v>207</v>
      </c>
    </row>
    <row r="186" spans="1:7">
      <c r="A186" t="s">
        <v>42</v>
      </c>
      <c r="B186" t="s">
        <v>91</v>
      </c>
      <c r="C186" s="15">
        <v>85.8</v>
      </c>
      <c r="D186" s="15">
        <v>88.4</v>
      </c>
      <c r="E186" s="15">
        <v>58.4</v>
      </c>
      <c r="F186" s="15">
        <v>85.8</v>
      </c>
      <c r="G186" t="s">
        <v>26</v>
      </c>
    </row>
    <row r="187" spans="1:7">
      <c r="A187" t="s">
        <v>208</v>
      </c>
      <c r="B187" t="s">
        <v>24</v>
      </c>
      <c r="C187" s="15">
        <v>88.8</v>
      </c>
      <c r="D187" s="15">
        <v>83.4</v>
      </c>
      <c r="E187" s="15">
        <v>72.5</v>
      </c>
      <c r="F187" s="15">
        <v>73.2</v>
      </c>
      <c r="G187" t="s">
        <v>26</v>
      </c>
    </row>
    <row r="188" spans="1:7">
      <c r="A188" t="s">
        <v>209</v>
      </c>
      <c r="B188" t="s">
        <v>21</v>
      </c>
      <c r="C188" s="15">
        <v>55.2</v>
      </c>
      <c r="D188" s="15">
        <v>37.799999999999997</v>
      </c>
      <c r="E188" s="15">
        <v>59.1</v>
      </c>
      <c r="F188" s="15">
        <v>71.2</v>
      </c>
      <c r="G188" t="s">
        <v>22</v>
      </c>
    </row>
    <row r="189" spans="1:7">
      <c r="A189" t="s">
        <v>210</v>
      </c>
      <c r="B189" t="s">
        <v>24</v>
      </c>
      <c r="C189" s="15">
        <v>62.9</v>
      </c>
      <c r="D189" s="15">
        <v>64.2</v>
      </c>
      <c r="E189" s="15">
        <v>46.4</v>
      </c>
      <c r="F189" s="15">
        <v>100</v>
      </c>
      <c r="G189" t="s">
        <v>22</v>
      </c>
    </row>
    <row r="190" spans="1:7">
      <c r="A190" t="s">
        <v>211</v>
      </c>
      <c r="B190" t="s">
        <v>34</v>
      </c>
      <c r="C190" s="15">
        <v>86.2</v>
      </c>
      <c r="D190" s="15">
        <v>88</v>
      </c>
      <c r="E190" s="15">
        <v>52.9</v>
      </c>
      <c r="F190" s="15">
        <v>70.2</v>
      </c>
    </row>
    <row r="191" spans="1:7">
      <c r="A191" t="s">
        <v>212</v>
      </c>
      <c r="B191" t="s">
        <v>21</v>
      </c>
      <c r="C191" s="15">
        <v>84.8</v>
      </c>
      <c r="D191" s="15">
        <v>86.2</v>
      </c>
      <c r="E191" s="15">
        <v>91.2</v>
      </c>
      <c r="F191" s="15">
        <v>60.8</v>
      </c>
      <c r="G191" t="s">
        <v>26</v>
      </c>
    </row>
    <row r="192" spans="1:7">
      <c r="A192" t="s">
        <v>213</v>
      </c>
      <c r="B192" t="s">
        <v>34</v>
      </c>
      <c r="C192" s="15">
        <v>85.1</v>
      </c>
      <c r="D192" s="15">
        <v>67.5</v>
      </c>
      <c r="E192" s="15">
        <v>66.3</v>
      </c>
      <c r="F192" s="15">
        <v>64.099999999999994</v>
      </c>
      <c r="G192" t="s">
        <v>26</v>
      </c>
    </row>
    <row r="193" spans="1:7">
      <c r="B193" t="s">
        <v>30</v>
      </c>
      <c r="C193" s="15">
        <v>67.8</v>
      </c>
      <c r="D193" s="15">
        <v>71.8</v>
      </c>
      <c r="E193" s="15">
        <v>97.5</v>
      </c>
      <c r="F193" s="15">
        <v>100</v>
      </c>
      <c r="G193" t="s">
        <v>22</v>
      </c>
    </row>
    <row r="194" spans="1:7">
      <c r="A194" t="s">
        <v>214</v>
      </c>
      <c r="B194" t="s">
        <v>21</v>
      </c>
      <c r="C194" s="15">
        <v>80.3</v>
      </c>
      <c r="D194" s="15">
        <v>90.3</v>
      </c>
      <c r="E194" s="15">
        <v>82.9</v>
      </c>
      <c r="F194" s="15">
        <v>74.599999999999994</v>
      </c>
      <c r="G194" t="s">
        <v>26</v>
      </c>
    </row>
    <row r="195" spans="1:7">
      <c r="A195" t="s">
        <v>215</v>
      </c>
      <c r="B195" t="s">
        <v>34</v>
      </c>
      <c r="C195" s="15">
        <v>71.7</v>
      </c>
      <c r="D195" s="15">
        <v>83.4</v>
      </c>
      <c r="E195" s="15">
        <v>66.099999999999994</v>
      </c>
      <c r="F195" s="15">
        <v>89.8</v>
      </c>
      <c r="G195" t="s">
        <v>26</v>
      </c>
    </row>
    <row r="196" spans="1:7">
      <c r="A196" t="s">
        <v>216</v>
      </c>
      <c r="C196" s="15">
        <v>76.2</v>
      </c>
      <c r="D196" s="15">
        <v>-10</v>
      </c>
      <c r="E196" s="15">
        <v>64.5</v>
      </c>
      <c r="F196" s="15">
        <v>62.7</v>
      </c>
      <c r="G196" t="s">
        <v>22</v>
      </c>
    </row>
    <row r="197" spans="1:7">
      <c r="A197" t="s">
        <v>217</v>
      </c>
      <c r="B197" t="s">
        <v>28</v>
      </c>
      <c r="C197" s="15">
        <v>94.2</v>
      </c>
      <c r="D197" s="15">
        <v>67.599999999999994</v>
      </c>
      <c r="E197" s="15">
        <v>77.5</v>
      </c>
      <c r="F197" s="15">
        <v>93.3</v>
      </c>
      <c r="G197" t="s">
        <v>26</v>
      </c>
    </row>
    <row r="198" spans="1:7">
      <c r="A198" t="s">
        <v>218</v>
      </c>
      <c r="B198" t="s">
        <v>30</v>
      </c>
      <c r="C198" s="15"/>
      <c r="D198" s="15">
        <v>61.3</v>
      </c>
      <c r="E198" s="15">
        <v>99.6</v>
      </c>
      <c r="F198" s="15">
        <v>55.9</v>
      </c>
      <c r="G198" t="s">
        <v>22</v>
      </c>
    </row>
    <row r="199" spans="1:7">
      <c r="A199" t="s">
        <v>219</v>
      </c>
      <c r="B199" t="s">
        <v>34</v>
      </c>
      <c r="C199" s="15">
        <v>92.8</v>
      </c>
      <c r="D199" s="15">
        <v>64.8</v>
      </c>
      <c r="E199" s="15" t="s">
        <v>355</v>
      </c>
      <c r="F199" s="15">
        <v>60.7</v>
      </c>
      <c r="G199" t="s">
        <v>26</v>
      </c>
    </row>
    <row r="200" spans="1:7">
      <c r="A200" t="s">
        <v>129</v>
      </c>
      <c r="B200" t="s">
        <v>34</v>
      </c>
      <c r="C200" s="15">
        <v>95.3</v>
      </c>
      <c r="D200" s="15">
        <v>70.3</v>
      </c>
      <c r="E200" s="15">
        <v>50.1</v>
      </c>
      <c r="F200" s="15">
        <v>61</v>
      </c>
      <c r="G200" t="s">
        <v>26</v>
      </c>
    </row>
    <row r="201" spans="1:7">
      <c r="A201" t="s">
        <v>220</v>
      </c>
      <c r="B201" t="s">
        <v>34</v>
      </c>
      <c r="C201" s="15">
        <v>85.1</v>
      </c>
      <c r="D201" s="15">
        <v>78.2</v>
      </c>
      <c r="E201" s="15">
        <v>85.5</v>
      </c>
      <c r="F201" s="15">
        <v>67.400000000000006</v>
      </c>
      <c r="G201" t="s">
        <v>26</v>
      </c>
    </row>
    <row r="202" spans="1:7">
      <c r="A202" t="s">
        <v>221</v>
      </c>
      <c r="B202" t="s">
        <v>30</v>
      </c>
      <c r="C202" s="15">
        <v>72.900000000000006</v>
      </c>
      <c r="D202" s="15">
        <v>62.8</v>
      </c>
      <c r="E202" s="15">
        <v>53.1</v>
      </c>
      <c r="F202" s="15">
        <v>81.400000000000006</v>
      </c>
      <c r="G202" t="s">
        <v>26</v>
      </c>
    </row>
    <row r="203" spans="1:7">
      <c r="A203" t="s">
        <v>222</v>
      </c>
      <c r="B203" t="s">
        <v>21</v>
      </c>
      <c r="C203" s="15">
        <v>80</v>
      </c>
      <c r="D203" s="15"/>
      <c r="E203" s="15">
        <v>67.3</v>
      </c>
      <c r="F203" s="15">
        <v>64.599999999999994</v>
      </c>
      <c r="G203" t="s">
        <v>26</v>
      </c>
    </row>
    <row r="204" spans="1:7">
      <c r="A204" t="s">
        <v>128</v>
      </c>
      <c r="B204" t="s">
        <v>28</v>
      </c>
      <c r="C204" s="15">
        <v>99.9</v>
      </c>
      <c r="D204" s="15">
        <v>70.900000000000006</v>
      </c>
      <c r="E204" s="15">
        <v>85.9</v>
      </c>
      <c r="F204" s="15">
        <v>54.9</v>
      </c>
      <c r="G204" t="s">
        <v>26</v>
      </c>
    </row>
    <row r="205" spans="1:7">
      <c r="A205" t="s">
        <v>223</v>
      </c>
      <c r="B205" t="s">
        <v>24</v>
      </c>
      <c r="C205" s="15">
        <v>84.9</v>
      </c>
      <c r="D205" s="15">
        <v>77.2</v>
      </c>
      <c r="E205" s="15">
        <v>81.400000000000006</v>
      </c>
      <c r="F205" s="15">
        <v>68</v>
      </c>
    </row>
    <row r="206" spans="1:7">
      <c r="A206" t="s">
        <v>224</v>
      </c>
      <c r="B206" t="s">
        <v>30</v>
      </c>
      <c r="C206" s="15">
        <v>88.7</v>
      </c>
      <c r="D206" s="15">
        <v>84</v>
      </c>
      <c r="E206" s="15"/>
      <c r="F206" s="15">
        <v>53.3</v>
      </c>
      <c r="G206" t="s">
        <v>26</v>
      </c>
    </row>
    <row r="207" spans="1:7">
      <c r="A207" t="s">
        <v>225</v>
      </c>
      <c r="B207" t="s">
        <v>30</v>
      </c>
      <c r="C207" s="15">
        <v>89.8</v>
      </c>
      <c r="D207" s="15">
        <v>62.5</v>
      </c>
      <c r="E207" s="15">
        <v>73</v>
      </c>
      <c r="F207" s="15">
        <v>37.4</v>
      </c>
      <c r="G207" t="s">
        <v>22</v>
      </c>
    </row>
    <row r="208" spans="1:7">
      <c r="A208" t="s">
        <v>226</v>
      </c>
      <c r="B208" t="s">
        <v>30</v>
      </c>
      <c r="C208" s="15">
        <v>68.900000000000006</v>
      </c>
      <c r="D208" s="15">
        <v>85.3</v>
      </c>
      <c r="E208" s="15">
        <v>38.6</v>
      </c>
      <c r="F208" s="15">
        <v>71</v>
      </c>
      <c r="G208" t="s">
        <v>22</v>
      </c>
    </row>
    <row r="209" spans="1:7">
      <c r="A209" t="s">
        <v>227</v>
      </c>
      <c r="B209" t="s">
        <v>30</v>
      </c>
      <c r="C209" s="15">
        <v>91.4</v>
      </c>
      <c r="D209" s="15">
        <v>69.900000000000006</v>
      </c>
      <c r="E209" s="15">
        <v>58</v>
      </c>
      <c r="F209" s="15">
        <v>82.8</v>
      </c>
      <c r="G209" t="s">
        <v>26</v>
      </c>
    </row>
    <row r="210" spans="1:7">
      <c r="A210" t="s">
        <v>228</v>
      </c>
      <c r="B210" t="s">
        <v>21</v>
      </c>
      <c r="C210" s="15">
        <v>93.7</v>
      </c>
      <c r="D210" s="15">
        <v>74.099999999999994</v>
      </c>
      <c r="E210" s="15">
        <v>61.7</v>
      </c>
      <c r="F210" s="15">
        <v>65</v>
      </c>
      <c r="G210" t="s">
        <v>26</v>
      </c>
    </row>
    <row r="211" spans="1:7">
      <c r="A211" t="s">
        <v>229</v>
      </c>
      <c r="B211" t="s">
        <v>46</v>
      </c>
      <c r="C211" s="15">
        <v>-4</v>
      </c>
      <c r="D211" s="15"/>
      <c r="E211" s="15">
        <v>79.7</v>
      </c>
      <c r="F211" s="15">
        <v>61.9</v>
      </c>
      <c r="G211" t="s">
        <v>26</v>
      </c>
    </row>
    <row r="212" spans="1:7">
      <c r="A212" t="s">
        <v>230</v>
      </c>
      <c r="B212" t="s">
        <v>34</v>
      </c>
      <c r="C212" s="15">
        <v>82.7</v>
      </c>
      <c r="D212" s="15">
        <v>88</v>
      </c>
      <c r="E212" s="15">
        <v>66.099999999999994</v>
      </c>
      <c r="F212" s="15">
        <v>89.9</v>
      </c>
      <c r="G212" t="s">
        <v>26</v>
      </c>
    </row>
    <row r="213" spans="1:7">
      <c r="A213" t="s">
        <v>231</v>
      </c>
      <c r="B213" t="s">
        <v>30</v>
      </c>
      <c r="C213" s="15">
        <v>91.8</v>
      </c>
      <c r="D213" s="15">
        <v>65.900000000000006</v>
      </c>
      <c r="E213" s="15">
        <v>82.7</v>
      </c>
      <c r="F213" s="15"/>
      <c r="G213" t="s">
        <v>26</v>
      </c>
    </row>
    <row r="214" spans="1:7">
      <c r="A214" t="s">
        <v>232</v>
      </c>
      <c r="B214" t="s">
        <v>30</v>
      </c>
      <c r="C214" s="15">
        <v>97.9</v>
      </c>
      <c r="D214" s="15">
        <v>55.2</v>
      </c>
      <c r="E214" s="15">
        <v>82.5</v>
      </c>
      <c r="F214" s="15">
        <v>50.1</v>
      </c>
      <c r="G214" t="s">
        <v>26</v>
      </c>
    </row>
    <row r="215" spans="1:7">
      <c r="A215" t="s">
        <v>233</v>
      </c>
      <c r="B215" t="s">
        <v>46</v>
      </c>
      <c r="C215" s="15">
        <v>75.599999999999994</v>
      </c>
      <c r="D215" s="15">
        <v>30.3</v>
      </c>
      <c r="E215" s="15">
        <v>44.7</v>
      </c>
      <c r="F215" s="15">
        <v>70.599999999999994</v>
      </c>
      <c r="G215" t="s">
        <v>22</v>
      </c>
    </row>
    <row r="216" spans="1:7">
      <c r="A216" t="s">
        <v>234</v>
      </c>
      <c r="B216" t="s">
        <v>34</v>
      </c>
      <c r="C216" s="15">
        <v>90.5</v>
      </c>
      <c r="D216" s="15">
        <v>82.5</v>
      </c>
      <c r="E216" s="15">
        <v>67.599999999999994</v>
      </c>
      <c r="F216" s="15">
        <v>84.2</v>
      </c>
      <c r="G216" t="s">
        <v>26</v>
      </c>
    </row>
    <row r="217" spans="1:7">
      <c r="A217" t="s">
        <v>235</v>
      </c>
      <c r="B217" t="s">
        <v>21</v>
      </c>
      <c r="C217" s="15">
        <v>86.6</v>
      </c>
      <c r="D217" s="15">
        <v>59.5</v>
      </c>
      <c r="E217" s="15">
        <v>60.9</v>
      </c>
      <c r="F217" s="15">
        <v>49.8</v>
      </c>
      <c r="G217" t="s">
        <v>22</v>
      </c>
    </row>
    <row r="218" spans="1:7">
      <c r="A218" t="s">
        <v>236</v>
      </c>
      <c r="B218" t="s">
        <v>28</v>
      </c>
      <c r="C218" s="15">
        <v>81.599999999999994</v>
      </c>
      <c r="D218" s="15">
        <v>74</v>
      </c>
      <c r="E218" s="15">
        <v>65.5</v>
      </c>
      <c r="F218" s="15">
        <v>62.2</v>
      </c>
      <c r="G218" t="s">
        <v>26</v>
      </c>
    </row>
    <row r="219" spans="1:7">
      <c r="A219" t="s">
        <v>237</v>
      </c>
      <c r="B219" t="s">
        <v>21</v>
      </c>
      <c r="C219" s="15">
        <v>75.599999999999994</v>
      </c>
      <c r="D219" s="15">
        <v>37.200000000000003</v>
      </c>
      <c r="E219" s="15">
        <v>68</v>
      </c>
      <c r="F219" s="15"/>
      <c r="G219" t="s">
        <v>22</v>
      </c>
    </row>
    <row r="220" spans="1:7">
      <c r="A220" t="s">
        <v>238</v>
      </c>
      <c r="C220" s="15">
        <v>93.7</v>
      </c>
      <c r="D220" s="15">
        <v>73.599999999999994</v>
      </c>
      <c r="E220" s="15">
        <v>51.5</v>
      </c>
      <c r="F220" s="15">
        <v>89</v>
      </c>
      <c r="G220" t="s">
        <v>26</v>
      </c>
    </row>
    <row r="221" spans="1:7">
      <c r="A221" t="s">
        <v>239</v>
      </c>
      <c r="B221" t="s">
        <v>46</v>
      </c>
      <c r="C221" s="15">
        <v>93.4</v>
      </c>
      <c r="D221" s="15">
        <v>58.3</v>
      </c>
      <c r="E221" s="15">
        <v>71.2</v>
      </c>
      <c r="F221" s="15">
        <v>52.5</v>
      </c>
      <c r="G221" t="s">
        <v>26</v>
      </c>
    </row>
    <row r="222" spans="1:7">
      <c r="A222" t="s">
        <v>240</v>
      </c>
      <c r="B222" t="s">
        <v>34</v>
      </c>
      <c r="C222" s="15">
        <v>90.1</v>
      </c>
      <c r="D222" s="15">
        <v>69.8</v>
      </c>
      <c r="E222" s="15">
        <v>100</v>
      </c>
      <c r="F222" s="15">
        <v>96.1</v>
      </c>
      <c r="G222" t="s">
        <v>26</v>
      </c>
    </row>
    <row r="223" spans="1:7">
      <c r="A223" t="s">
        <v>241</v>
      </c>
      <c r="B223" t="s">
        <v>24</v>
      </c>
      <c r="C223" s="15">
        <v>83.5</v>
      </c>
      <c r="D223" s="15">
        <v>44.3</v>
      </c>
      <c r="E223" s="15">
        <v>77</v>
      </c>
      <c r="F223" s="15">
        <v>75.7</v>
      </c>
      <c r="G223" t="s">
        <v>26</v>
      </c>
    </row>
    <row r="224" spans="1:7">
      <c r="A224" t="s">
        <v>242</v>
      </c>
      <c r="C224" s="15">
        <v>100</v>
      </c>
      <c r="D224" s="15">
        <v>77.099999999999994</v>
      </c>
      <c r="E224" s="15">
        <v>63.3</v>
      </c>
      <c r="F224" s="15">
        <v>79</v>
      </c>
      <c r="G224" t="s">
        <v>26</v>
      </c>
    </row>
    <row r="225" spans="1:7">
      <c r="A225" t="s">
        <v>243</v>
      </c>
      <c r="B225" t="s">
        <v>30</v>
      </c>
      <c r="C225" s="15">
        <v>78.599999999999994</v>
      </c>
      <c r="D225" s="15">
        <v>73.8</v>
      </c>
      <c r="E225" s="15">
        <v>91.4</v>
      </c>
      <c r="F225" s="15">
        <v>95.9</v>
      </c>
      <c r="G225" t="s">
        <v>26</v>
      </c>
    </row>
    <row r="226" spans="1:7">
      <c r="A226" t="s">
        <v>244</v>
      </c>
      <c r="B226" t="s">
        <v>34</v>
      </c>
      <c r="C226" s="15">
        <v>79.099999999999994</v>
      </c>
      <c r="D226" s="15">
        <v>45.6</v>
      </c>
      <c r="E226" s="15">
        <v>44.6</v>
      </c>
      <c r="F226" s="15">
        <v>76.5</v>
      </c>
    </row>
    <row r="227" spans="1:7">
      <c r="A227" t="s">
        <v>245</v>
      </c>
      <c r="B227" t="s">
        <v>34</v>
      </c>
      <c r="C227" s="15">
        <v>69.400000000000006</v>
      </c>
      <c r="D227" s="15">
        <v>95.1</v>
      </c>
      <c r="E227" s="15">
        <v>58.3</v>
      </c>
      <c r="F227" s="15">
        <v>88.9</v>
      </c>
      <c r="G227" t="s">
        <v>22</v>
      </c>
    </row>
    <row r="228" spans="1:7">
      <c r="A228" t="s">
        <v>246</v>
      </c>
      <c r="B228" t="s">
        <v>46</v>
      </c>
      <c r="C228" s="15">
        <v>83.3</v>
      </c>
      <c r="D228" s="15">
        <v>98.7</v>
      </c>
      <c r="E228" s="15">
        <v>78.7</v>
      </c>
      <c r="F228" s="15" t="s">
        <v>355</v>
      </c>
      <c r="G228" t="s">
        <v>26</v>
      </c>
    </row>
    <row r="229" spans="1:7">
      <c r="A229" t="s">
        <v>247</v>
      </c>
      <c r="B229" t="s">
        <v>24</v>
      </c>
      <c r="C229" s="15">
        <v>99.5</v>
      </c>
      <c r="D229" s="15">
        <v>92.7</v>
      </c>
      <c r="E229" s="15">
        <v>62.7</v>
      </c>
      <c r="F229" s="15">
        <v>81.400000000000006</v>
      </c>
      <c r="G229" t="s">
        <v>26</v>
      </c>
    </row>
    <row r="230" spans="1:7">
      <c r="A230" t="s">
        <v>248</v>
      </c>
      <c r="B230" t="s">
        <v>24</v>
      </c>
      <c r="C230" s="15">
        <v>92</v>
      </c>
      <c r="D230" s="15">
        <v>52.1</v>
      </c>
      <c r="E230" s="15">
        <v>48.5</v>
      </c>
      <c r="F230" s="15">
        <v>99.8</v>
      </c>
      <c r="G230" t="s">
        <v>26</v>
      </c>
    </row>
    <row r="231" spans="1:7">
      <c r="A231" t="s">
        <v>249</v>
      </c>
      <c r="B231" t="s">
        <v>30</v>
      </c>
      <c r="C231" s="15">
        <v>77.7</v>
      </c>
      <c r="D231" s="15"/>
      <c r="E231" s="15">
        <v>61.9</v>
      </c>
      <c r="F231" s="15">
        <v>70.7</v>
      </c>
      <c r="G231" t="s">
        <v>26</v>
      </c>
    </row>
    <row r="232" spans="1:7">
      <c r="A232" t="s">
        <v>250</v>
      </c>
      <c r="B232" t="s">
        <v>30</v>
      </c>
      <c r="C232" s="15">
        <v>72.2</v>
      </c>
      <c r="D232" s="15">
        <v>71.099999999999994</v>
      </c>
      <c r="E232" s="15">
        <v>69.8</v>
      </c>
      <c r="F232" s="15">
        <v>76.5</v>
      </c>
      <c r="G232" t="s">
        <v>26</v>
      </c>
    </row>
    <row r="233" spans="1:7">
      <c r="A233" t="s">
        <v>251</v>
      </c>
      <c r="C233" s="15">
        <v>82</v>
      </c>
      <c r="D233" s="15">
        <v>84.8</v>
      </c>
      <c r="E233" s="15">
        <v>53.7</v>
      </c>
      <c r="F233" s="15">
        <v>91.3</v>
      </c>
      <c r="G233" t="s">
        <v>26</v>
      </c>
    </row>
    <row r="234" spans="1:7">
      <c r="A234" t="s">
        <v>252</v>
      </c>
      <c r="B234" t="s">
        <v>30</v>
      </c>
      <c r="C234" s="15">
        <v>88.3</v>
      </c>
      <c r="D234" s="15">
        <v>72.400000000000006</v>
      </c>
      <c r="E234" s="15">
        <v>73.599999999999994</v>
      </c>
      <c r="F234" s="15"/>
      <c r="G234" t="s">
        <v>26</v>
      </c>
    </row>
    <row r="235" spans="1:7">
      <c r="A235" t="s">
        <v>253</v>
      </c>
      <c r="C235" s="15">
        <v>82.5</v>
      </c>
      <c r="D235" s="15">
        <v>69.099999999999994</v>
      </c>
      <c r="E235" s="15">
        <v>61</v>
      </c>
      <c r="F235" s="15">
        <v>55.4</v>
      </c>
      <c r="G235" t="s">
        <v>26</v>
      </c>
    </row>
    <row r="236" spans="1:7">
      <c r="A236" t="s">
        <v>254</v>
      </c>
      <c r="B236" t="s">
        <v>30</v>
      </c>
      <c r="C236" s="15">
        <v>72.3</v>
      </c>
      <c r="D236" s="15">
        <v>55.5</v>
      </c>
      <c r="E236" s="15">
        <v>117</v>
      </c>
      <c r="F236" s="15">
        <v>80</v>
      </c>
      <c r="G236" t="s">
        <v>26</v>
      </c>
    </row>
    <row r="237" spans="1:7">
      <c r="A237" t="s">
        <v>255</v>
      </c>
      <c r="B237" t="s">
        <v>28</v>
      </c>
      <c r="C237" s="15">
        <v>67.900000000000006</v>
      </c>
      <c r="D237" s="15">
        <v>55.5</v>
      </c>
      <c r="E237" s="15">
        <v>93.3</v>
      </c>
      <c r="F237" s="15">
        <v>62.9</v>
      </c>
      <c r="G237" t="s">
        <v>22</v>
      </c>
    </row>
    <row r="238" spans="1:7">
      <c r="A238" t="s">
        <v>256</v>
      </c>
      <c r="B238" t="s">
        <v>46</v>
      </c>
      <c r="C238" s="15">
        <v>67.3</v>
      </c>
      <c r="D238" s="15">
        <v>81.599999999999994</v>
      </c>
      <c r="E238" s="15">
        <v>90.8</v>
      </c>
      <c r="F238" s="15">
        <v>84.6</v>
      </c>
      <c r="G238" t="s">
        <v>22</v>
      </c>
    </row>
    <row r="239" spans="1:7">
      <c r="A239" t="s">
        <v>257</v>
      </c>
      <c r="B239" t="s">
        <v>28</v>
      </c>
      <c r="C239" s="15">
        <v>95</v>
      </c>
      <c r="D239" s="15">
        <v>99.5</v>
      </c>
      <c r="E239" s="15">
        <v>74.8</v>
      </c>
      <c r="F239" s="15">
        <v>82.7</v>
      </c>
      <c r="G239" t="s">
        <v>26</v>
      </c>
    </row>
    <row r="240" spans="1:7">
      <c r="A240" t="s">
        <v>258</v>
      </c>
      <c r="B240" t="s">
        <v>24</v>
      </c>
      <c r="C240" s="15">
        <v>80.400000000000006</v>
      </c>
      <c r="D240" s="15">
        <v>89.3</v>
      </c>
      <c r="E240" s="15">
        <v>71.7</v>
      </c>
      <c r="F240" s="15">
        <v>61.4</v>
      </c>
      <c r="G240" t="s">
        <v>26</v>
      </c>
    </row>
    <row r="241" spans="1:7">
      <c r="A241" t="s">
        <v>259</v>
      </c>
      <c r="B241" t="s">
        <v>24</v>
      </c>
      <c r="C241" s="15">
        <v>73.2</v>
      </c>
      <c r="D241" s="15">
        <v>67</v>
      </c>
      <c r="E241" s="15">
        <v>88.2</v>
      </c>
      <c r="F241" s="15">
        <v>78</v>
      </c>
      <c r="G241" t="s">
        <v>26</v>
      </c>
    </row>
    <row r="242" spans="1:7">
      <c r="A242" t="s">
        <v>260</v>
      </c>
      <c r="B242" t="s">
        <v>30</v>
      </c>
      <c r="C242" s="15">
        <v>80.7</v>
      </c>
      <c r="D242" s="15">
        <v>71.3</v>
      </c>
      <c r="E242" s="15">
        <v>100</v>
      </c>
      <c r="F242" s="15">
        <v>67.599999999999994</v>
      </c>
      <c r="G242" t="s">
        <v>26</v>
      </c>
    </row>
    <row r="243" spans="1:7">
      <c r="A243" t="s">
        <v>261</v>
      </c>
      <c r="B243" t="s">
        <v>21</v>
      </c>
      <c r="C243" s="15">
        <v>84.9</v>
      </c>
      <c r="D243" s="15">
        <v>80.7</v>
      </c>
      <c r="E243" s="15" t="s">
        <v>356</v>
      </c>
      <c r="F243" s="15">
        <v>49.2</v>
      </c>
      <c r="G243" t="s">
        <v>26</v>
      </c>
    </row>
    <row r="244" spans="1:7">
      <c r="B244" t="s">
        <v>28</v>
      </c>
      <c r="C244" s="15">
        <v>79.5</v>
      </c>
      <c r="D244" s="15">
        <v>64.400000000000006</v>
      </c>
      <c r="E244" s="15">
        <v>50.7</v>
      </c>
      <c r="F244" s="15">
        <v>50.9</v>
      </c>
      <c r="G244" t="s">
        <v>22</v>
      </c>
    </row>
    <row r="245" spans="1:7">
      <c r="A245" t="s">
        <v>262</v>
      </c>
      <c r="B245" t="s">
        <v>34</v>
      </c>
      <c r="C245" s="15">
        <v>79.5</v>
      </c>
      <c r="D245" s="15">
        <v>82</v>
      </c>
      <c r="E245" s="15">
        <v>43.2</v>
      </c>
      <c r="F245" s="15"/>
      <c r="G245" t="s">
        <v>26</v>
      </c>
    </row>
    <row r="246" spans="1:7">
      <c r="A246" t="s">
        <v>179</v>
      </c>
      <c r="B246" t="s">
        <v>34</v>
      </c>
      <c r="C246" s="15">
        <v>83.1</v>
      </c>
      <c r="D246" s="15">
        <v>77.3</v>
      </c>
      <c r="E246" s="15">
        <v>78.400000000000006</v>
      </c>
      <c r="F246" s="15">
        <v>57.1</v>
      </c>
      <c r="G246" t="s">
        <v>26</v>
      </c>
    </row>
    <row r="247" spans="1:7">
      <c r="A247" t="s">
        <v>263</v>
      </c>
      <c r="B247" t="s">
        <v>34</v>
      </c>
      <c r="C247" s="15">
        <v>69.599999999999994</v>
      </c>
      <c r="D247" s="15">
        <v>69.099999999999994</v>
      </c>
      <c r="E247" s="15">
        <v>62.5</v>
      </c>
      <c r="F247" s="15">
        <v>76.099999999999994</v>
      </c>
      <c r="G247" t="s">
        <v>22</v>
      </c>
    </row>
    <row r="248" spans="1:7">
      <c r="A248" t="s">
        <v>264</v>
      </c>
      <c r="B248" t="s">
        <v>34</v>
      </c>
      <c r="C248" s="15">
        <v>100</v>
      </c>
      <c r="D248" s="15">
        <v>78.8</v>
      </c>
      <c r="E248" s="15">
        <v>49.9</v>
      </c>
      <c r="F248" s="15">
        <v>66.8</v>
      </c>
      <c r="G248" t="s">
        <v>26</v>
      </c>
    </row>
    <row r="249" spans="1:7">
      <c r="A249" t="s">
        <v>265</v>
      </c>
      <c r="B249" t="s">
        <v>34</v>
      </c>
      <c r="C249" s="15">
        <v>93.2</v>
      </c>
      <c r="D249" s="15">
        <v>53.5</v>
      </c>
      <c r="E249" s="15">
        <v>72.2</v>
      </c>
      <c r="F249" s="15">
        <v>49.9</v>
      </c>
      <c r="G249" t="s">
        <v>22</v>
      </c>
    </row>
    <row r="250" spans="1:7">
      <c r="A250" t="s">
        <v>266</v>
      </c>
      <c r="B250" t="s">
        <v>34</v>
      </c>
      <c r="C250" s="15">
        <v>96.2</v>
      </c>
      <c r="D250" s="15">
        <v>64.2</v>
      </c>
      <c r="E250" s="15">
        <v>70.5</v>
      </c>
      <c r="F250" s="15">
        <v>56</v>
      </c>
      <c r="G250" t="s">
        <v>26</v>
      </c>
    </row>
    <row r="251" spans="1:7">
      <c r="A251" t="s">
        <v>267</v>
      </c>
      <c r="B251" t="s">
        <v>24</v>
      </c>
      <c r="C251" s="15">
        <v>77.8</v>
      </c>
      <c r="D251" s="15"/>
      <c r="E251" s="15">
        <v>59.2</v>
      </c>
      <c r="F251" s="15">
        <v>83.6</v>
      </c>
      <c r="G251" t="s">
        <v>26</v>
      </c>
    </row>
    <row r="252" spans="1:7">
      <c r="A252" t="s">
        <v>268</v>
      </c>
      <c r="B252" t="s">
        <v>269</v>
      </c>
      <c r="C252" s="15">
        <v>70.400000000000006</v>
      </c>
      <c r="D252" s="15">
        <v>69.099999999999994</v>
      </c>
      <c r="E252" s="15">
        <v>74.7</v>
      </c>
      <c r="F252" s="15">
        <v>77.400000000000006</v>
      </c>
      <c r="G252" t="s">
        <v>26</v>
      </c>
    </row>
    <row r="253" spans="1:7">
      <c r="A253" t="s">
        <v>270</v>
      </c>
      <c r="B253" t="s">
        <v>30</v>
      </c>
      <c r="C253" s="15">
        <v>71.8</v>
      </c>
      <c r="D253" s="15">
        <v>100</v>
      </c>
      <c r="E253" s="15">
        <v>57.1</v>
      </c>
      <c r="F253" s="15">
        <v>92.2</v>
      </c>
      <c r="G253" t="s">
        <v>26</v>
      </c>
    </row>
    <row r="254" spans="1:7">
      <c r="A254" t="s">
        <v>271</v>
      </c>
      <c r="B254" t="s">
        <v>24</v>
      </c>
      <c r="C254" s="15">
        <v>82.5</v>
      </c>
      <c r="D254" s="15">
        <v>87.7</v>
      </c>
      <c r="E254" s="15">
        <v>70.599999999999994</v>
      </c>
      <c r="F254" s="15"/>
      <c r="G254" t="s">
        <v>26</v>
      </c>
    </row>
    <row r="255" spans="1:7">
      <c r="A255" t="s">
        <v>272</v>
      </c>
      <c r="B255" t="s">
        <v>46</v>
      </c>
      <c r="C255" s="15">
        <v>76</v>
      </c>
      <c r="D255" s="15">
        <v>69.400000000000006</v>
      </c>
      <c r="E255" s="15">
        <v>71.5</v>
      </c>
      <c r="F255" s="15">
        <v>49.2</v>
      </c>
      <c r="G255" t="s">
        <v>26</v>
      </c>
    </row>
    <row r="256" spans="1:7">
      <c r="A256" t="s">
        <v>273</v>
      </c>
      <c r="B256" t="s">
        <v>24</v>
      </c>
      <c r="C256" s="15">
        <v>67.2</v>
      </c>
      <c r="D256" s="15">
        <v>100</v>
      </c>
      <c r="E256" s="15">
        <v>49.8</v>
      </c>
      <c r="F256" s="15"/>
      <c r="G256" t="s">
        <v>62</v>
      </c>
    </row>
    <row r="257" spans="1:7">
      <c r="A257" t="s">
        <v>274</v>
      </c>
      <c r="B257" t="s">
        <v>24</v>
      </c>
      <c r="C257" s="15">
        <v>97.4</v>
      </c>
      <c r="D257" s="15">
        <v>78.3</v>
      </c>
      <c r="E257" s="15">
        <v>54</v>
      </c>
      <c r="F257" s="15">
        <v>66.2</v>
      </c>
      <c r="G257" t="s">
        <v>26</v>
      </c>
    </row>
    <row r="258" spans="1:7">
      <c r="A258" t="s">
        <v>275</v>
      </c>
      <c r="B258" t="s">
        <v>34</v>
      </c>
      <c r="C258" s="15">
        <v>79.900000000000006</v>
      </c>
      <c r="D258" s="15">
        <v>62.6</v>
      </c>
      <c r="E258" s="15"/>
      <c r="F258" s="15">
        <v>62.3</v>
      </c>
      <c r="G258" t="s">
        <v>26</v>
      </c>
    </row>
    <row r="259" spans="1:7">
      <c r="A259" t="s">
        <v>276</v>
      </c>
      <c r="B259" t="s">
        <v>24</v>
      </c>
      <c r="C259" s="15">
        <v>92.5</v>
      </c>
      <c r="D259" s="15">
        <v>79.3</v>
      </c>
      <c r="E259" s="15">
        <v>80.599999999999994</v>
      </c>
      <c r="F259" s="15">
        <v>79.3</v>
      </c>
      <c r="G259" t="s">
        <v>26</v>
      </c>
    </row>
    <row r="260" spans="1:7">
      <c r="A260" t="s">
        <v>277</v>
      </c>
      <c r="B260" t="s">
        <v>28</v>
      </c>
      <c r="C260" s="15">
        <v>77.2</v>
      </c>
      <c r="D260" s="15">
        <v>91.8</v>
      </c>
      <c r="E260" s="15">
        <v>73.099999999999994</v>
      </c>
      <c r="F260" s="15">
        <v>98.2</v>
      </c>
      <c r="G260" t="s">
        <v>26</v>
      </c>
    </row>
    <row r="261" spans="1:7">
      <c r="A261" t="s">
        <v>278</v>
      </c>
      <c r="B261" t="s">
        <v>28</v>
      </c>
      <c r="C261" s="15"/>
      <c r="D261" s="15">
        <v>60.2</v>
      </c>
      <c r="E261" s="15">
        <v>61.2</v>
      </c>
      <c r="F261" s="15">
        <v>46.5</v>
      </c>
      <c r="G261" t="s">
        <v>22</v>
      </c>
    </row>
    <row r="262" spans="1:7">
      <c r="A262" t="s">
        <v>279</v>
      </c>
      <c r="B262" t="s">
        <v>46</v>
      </c>
      <c r="C262" s="15">
        <v>73.599999999999994</v>
      </c>
      <c r="D262" s="15">
        <v>84.8</v>
      </c>
      <c r="E262" s="15">
        <v>56.4</v>
      </c>
      <c r="F262" s="15">
        <v>65.2</v>
      </c>
      <c r="G262" t="s">
        <v>26</v>
      </c>
    </row>
    <row r="263" spans="1:7">
      <c r="A263" t="s">
        <v>280</v>
      </c>
      <c r="B263" t="s">
        <v>21</v>
      </c>
      <c r="C263" s="15"/>
      <c r="D263" s="15">
        <v>52</v>
      </c>
      <c r="E263" s="15">
        <v>52.5</v>
      </c>
      <c r="F263" s="15">
        <v>90.8</v>
      </c>
      <c r="G263" t="s">
        <v>26</v>
      </c>
    </row>
    <row r="264" spans="1:7">
      <c r="A264" t="s">
        <v>281</v>
      </c>
      <c r="B264" t="s">
        <v>34</v>
      </c>
      <c r="C264" s="15">
        <v>84.6</v>
      </c>
      <c r="D264" s="15">
        <v>79.8</v>
      </c>
      <c r="E264" s="15">
        <v>100</v>
      </c>
      <c r="F264" s="15">
        <v>64.2</v>
      </c>
      <c r="G264" t="s">
        <v>26</v>
      </c>
    </row>
    <row r="265" spans="1:7">
      <c r="A265" t="s">
        <v>282</v>
      </c>
      <c r="B265" t="s">
        <v>24</v>
      </c>
      <c r="C265" s="15">
        <v>82.6</v>
      </c>
      <c r="D265" s="15">
        <v>57.2</v>
      </c>
      <c r="E265" s="15">
        <v>22.2</v>
      </c>
      <c r="F265" s="15">
        <v>60.4</v>
      </c>
      <c r="G265" t="s">
        <v>22</v>
      </c>
    </row>
    <row r="266" spans="1:7">
      <c r="A266" t="s">
        <v>283</v>
      </c>
      <c r="B266" t="s">
        <v>111</v>
      </c>
      <c r="C266" s="15">
        <v>83.8</v>
      </c>
      <c r="D266" s="15">
        <v>79.2</v>
      </c>
      <c r="E266" s="15">
        <v>11.4</v>
      </c>
      <c r="F266" s="15">
        <v>49.5</v>
      </c>
      <c r="G266" t="s">
        <v>22</v>
      </c>
    </row>
    <row r="267" spans="1:7">
      <c r="A267" t="s">
        <v>284</v>
      </c>
      <c r="B267" t="s">
        <v>21</v>
      </c>
      <c r="C267" s="15">
        <v>75.2</v>
      </c>
      <c r="D267" s="15">
        <v>76.400000000000006</v>
      </c>
      <c r="E267" s="15"/>
      <c r="F267" s="15">
        <v>98.9</v>
      </c>
      <c r="G267" t="s">
        <v>26</v>
      </c>
    </row>
    <row r="268" spans="1:7">
      <c r="A268" t="s">
        <v>285</v>
      </c>
      <c r="B268" t="s">
        <v>24</v>
      </c>
      <c r="C268" s="15">
        <v>75.8</v>
      </c>
      <c r="D268" s="15"/>
      <c r="E268" s="15">
        <v>100</v>
      </c>
      <c r="F268" s="15">
        <v>91.7</v>
      </c>
      <c r="G268" t="s">
        <v>26</v>
      </c>
    </row>
    <row r="269" spans="1:7">
      <c r="A269" t="s">
        <v>286</v>
      </c>
      <c r="B269" t="s">
        <v>24</v>
      </c>
      <c r="C269" s="15">
        <v>94.1</v>
      </c>
      <c r="D269" s="15">
        <v>55.5</v>
      </c>
      <c r="E269" s="15">
        <v>54</v>
      </c>
      <c r="F269" s="15">
        <v>65.900000000000006</v>
      </c>
    </row>
    <row r="270" spans="1:7">
      <c r="A270" t="s">
        <v>287</v>
      </c>
      <c r="B270" t="s">
        <v>28</v>
      </c>
      <c r="C270" s="15">
        <v>69.900000000000006</v>
      </c>
      <c r="D270" s="15">
        <v>80.7</v>
      </c>
      <c r="E270" s="15"/>
      <c r="F270" s="15">
        <v>88.2</v>
      </c>
      <c r="G270" t="s">
        <v>22</v>
      </c>
    </row>
    <row r="271" spans="1:7">
      <c r="A271" t="s">
        <v>288</v>
      </c>
      <c r="B271" t="s">
        <v>21</v>
      </c>
      <c r="C271" s="15">
        <v>71.8</v>
      </c>
      <c r="D271" s="15">
        <v>78.2</v>
      </c>
      <c r="E271" s="15">
        <v>78.400000000000006</v>
      </c>
      <c r="F271" s="15">
        <v>58</v>
      </c>
      <c r="G271" t="s">
        <v>26</v>
      </c>
    </row>
    <row r="272" spans="1:7">
      <c r="A272" t="s">
        <v>289</v>
      </c>
      <c r="B272" t="s">
        <v>30</v>
      </c>
      <c r="C272" s="15">
        <v>69.900000000000006</v>
      </c>
      <c r="D272" s="15">
        <v>79.7</v>
      </c>
      <c r="E272" s="15">
        <v>75.400000000000006</v>
      </c>
      <c r="F272" s="15">
        <v>59.3</v>
      </c>
    </row>
    <row r="273" spans="1:7">
      <c r="A273" t="s">
        <v>290</v>
      </c>
      <c r="B273" t="s">
        <v>21</v>
      </c>
      <c r="C273" s="15">
        <v>77.2</v>
      </c>
      <c r="D273" s="15">
        <v>51.1</v>
      </c>
      <c r="E273" s="15">
        <v>71.3</v>
      </c>
      <c r="F273" s="15">
        <v>83.6</v>
      </c>
      <c r="G273" t="s">
        <v>26</v>
      </c>
    </row>
    <row r="274" spans="1:7">
      <c r="A274" t="s">
        <v>291</v>
      </c>
      <c r="B274" t="s">
        <v>21</v>
      </c>
      <c r="C274" s="15">
        <v>81.599999999999994</v>
      </c>
      <c r="D274" s="15">
        <v>52.8</v>
      </c>
      <c r="E274" s="15">
        <v>60.2</v>
      </c>
      <c r="F274" s="15">
        <v>93</v>
      </c>
      <c r="G274" t="s">
        <v>26</v>
      </c>
    </row>
    <row r="275" spans="1:7">
      <c r="A275" t="s">
        <v>292</v>
      </c>
      <c r="B275" t="s">
        <v>24</v>
      </c>
      <c r="C275" s="15">
        <v>74.3</v>
      </c>
      <c r="D275" s="15">
        <v>81.900000000000006</v>
      </c>
      <c r="E275" s="15">
        <v>63.7</v>
      </c>
      <c r="F275" s="15">
        <v>34.4</v>
      </c>
      <c r="G275" t="s">
        <v>26</v>
      </c>
    </row>
    <row r="276" spans="1:7">
      <c r="A276" t="s">
        <v>293</v>
      </c>
      <c r="B276" t="s">
        <v>21</v>
      </c>
      <c r="C276" s="15">
        <v>92.7</v>
      </c>
      <c r="D276" s="15">
        <v>62.7</v>
      </c>
      <c r="E276" s="15">
        <v>96.1</v>
      </c>
      <c r="F276" s="15">
        <v>74.099999999999994</v>
      </c>
      <c r="G276" t="s">
        <v>26</v>
      </c>
    </row>
    <row r="277" spans="1:7">
      <c r="A277" t="s">
        <v>294</v>
      </c>
      <c r="B277" t="s">
        <v>34</v>
      </c>
      <c r="C277" s="15">
        <v>77.3</v>
      </c>
      <c r="D277" s="15">
        <v>74.900000000000006</v>
      </c>
      <c r="E277" s="15">
        <v>81.599999999999994</v>
      </c>
      <c r="F277" s="15">
        <v>62.2</v>
      </c>
      <c r="G277" t="s">
        <v>26</v>
      </c>
    </row>
    <row r="278" spans="1:7">
      <c r="A278" t="s">
        <v>295</v>
      </c>
      <c r="B278" t="s">
        <v>24</v>
      </c>
      <c r="C278" s="15">
        <v>90</v>
      </c>
      <c r="D278" s="15">
        <v>61.3</v>
      </c>
      <c r="E278" s="15">
        <v>51.2</v>
      </c>
      <c r="F278" s="15">
        <v>86.8</v>
      </c>
      <c r="G278" t="s">
        <v>26</v>
      </c>
    </row>
    <row r="279" spans="1:7">
      <c r="A279" t="s">
        <v>296</v>
      </c>
      <c r="B279" t="s">
        <v>30</v>
      </c>
      <c r="C279" s="15">
        <v>100</v>
      </c>
      <c r="D279" s="15"/>
      <c r="E279" s="15">
        <v>57.9</v>
      </c>
      <c r="F279" s="15">
        <v>78.8</v>
      </c>
      <c r="G279" t="s">
        <v>26</v>
      </c>
    </row>
    <row r="280" spans="1:7">
      <c r="A280" t="s">
        <v>297</v>
      </c>
      <c r="B280" t="s">
        <v>28</v>
      </c>
      <c r="C280" s="15">
        <v>85.2</v>
      </c>
      <c r="D280" s="15">
        <v>76.099999999999994</v>
      </c>
      <c r="E280" s="15">
        <v>38.9</v>
      </c>
      <c r="F280" s="15">
        <v>94.1</v>
      </c>
      <c r="G280" t="s">
        <v>26</v>
      </c>
    </row>
    <row r="281" spans="1:7">
      <c r="A281" t="s">
        <v>298</v>
      </c>
      <c r="B281" t="s">
        <v>21</v>
      </c>
      <c r="C281" s="15">
        <v>69.900000000000006</v>
      </c>
      <c r="D281" s="15">
        <v>80.599999999999994</v>
      </c>
      <c r="E281" s="15">
        <v>61.3</v>
      </c>
      <c r="F281" s="15">
        <v>97.7</v>
      </c>
    </row>
    <row r="282" spans="1:7">
      <c r="A282" t="s">
        <v>299</v>
      </c>
      <c r="B282" t="s">
        <v>21</v>
      </c>
      <c r="C282" s="15">
        <v>60.8</v>
      </c>
      <c r="D282" s="15">
        <v>77.400000000000006</v>
      </c>
      <c r="E282" s="15">
        <v>76.8</v>
      </c>
      <c r="F282" s="15">
        <v>41.7</v>
      </c>
    </row>
    <row r="283" spans="1:7">
      <c r="A283" t="s">
        <v>300</v>
      </c>
      <c r="B283" t="s">
        <v>34</v>
      </c>
      <c r="C283" s="15">
        <v>82.6</v>
      </c>
      <c r="D283" s="15">
        <v>68</v>
      </c>
      <c r="E283" s="15">
        <v>63.6</v>
      </c>
      <c r="F283" s="15">
        <v>58.9</v>
      </c>
      <c r="G283" t="s">
        <v>26</v>
      </c>
    </row>
    <row r="284" spans="1:7">
      <c r="A284" t="s">
        <v>301</v>
      </c>
      <c r="B284" t="s">
        <v>21</v>
      </c>
      <c r="C284" s="15">
        <v>84.5</v>
      </c>
      <c r="D284" s="15">
        <v>63.5</v>
      </c>
      <c r="E284" s="15">
        <v>56.2</v>
      </c>
      <c r="F284" s="15">
        <v>85.4</v>
      </c>
      <c r="G284" t="s">
        <v>26</v>
      </c>
    </row>
    <row r="285" spans="1:7">
      <c r="A285" t="s">
        <v>302</v>
      </c>
      <c r="B285" t="s">
        <v>21</v>
      </c>
      <c r="C285" s="15">
        <v>62.8</v>
      </c>
      <c r="D285" s="15">
        <v>82.1</v>
      </c>
      <c r="E285" s="15">
        <v>47.3</v>
      </c>
      <c r="F285" s="15">
        <v>68.599999999999994</v>
      </c>
      <c r="G285" t="s">
        <v>22</v>
      </c>
    </row>
    <row r="286" spans="1:7">
      <c r="A286" t="s">
        <v>303</v>
      </c>
      <c r="B286" t="s">
        <v>28</v>
      </c>
      <c r="C286" s="15">
        <v>70.7</v>
      </c>
      <c r="D286" s="15">
        <v>70.3</v>
      </c>
      <c r="E286" s="15">
        <v>87.1</v>
      </c>
      <c r="F286" s="15">
        <v>77.599999999999994</v>
      </c>
      <c r="G286" t="s">
        <v>26</v>
      </c>
    </row>
    <row r="287" spans="1:7">
      <c r="A287" t="s">
        <v>304</v>
      </c>
      <c r="B287" t="s">
        <v>24</v>
      </c>
      <c r="C287" s="15">
        <v>79.8</v>
      </c>
      <c r="D287" s="15">
        <v>42.7</v>
      </c>
      <c r="E287" s="15">
        <v>66.5</v>
      </c>
      <c r="F287" s="15">
        <v>75.2</v>
      </c>
      <c r="G287" t="s">
        <v>39</v>
      </c>
    </row>
    <row r="288" spans="1:7">
      <c r="A288" t="s">
        <v>305</v>
      </c>
      <c r="B288" t="s">
        <v>30</v>
      </c>
      <c r="C288" s="15">
        <v>70.900000000000006</v>
      </c>
      <c r="D288" s="15">
        <v>87.1</v>
      </c>
      <c r="E288" s="15">
        <v>73.099999999999994</v>
      </c>
      <c r="F288" s="15">
        <v>100</v>
      </c>
      <c r="G288" t="s">
        <v>26</v>
      </c>
    </row>
    <row r="289" spans="1:7">
      <c r="A289" t="s">
        <v>306</v>
      </c>
      <c r="B289" t="s">
        <v>30</v>
      </c>
      <c r="C289" s="15">
        <v>72.900000000000006</v>
      </c>
      <c r="D289" s="15">
        <v>67.599999999999994</v>
      </c>
      <c r="E289" s="15">
        <v>55.4</v>
      </c>
      <c r="F289" s="15">
        <v>77.5</v>
      </c>
      <c r="G289" t="s">
        <v>26</v>
      </c>
    </row>
    <row r="290" spans="1:7">
      <c r="B290" t="s">
        <v>30</v>
      </c>
      <c r="C290" s="15">
        <v>87.8</v>
      </c>
      <c r="D290" s="15">
        <v>75.099999999999994</v>
      </c>
      <c r="E290" s="15">
        <v>84.7</v>
      </c>
      <c r="F290" s="15">
        <v>80.099999999999994</v>
      </c>
      <c r="G290" t="s">
        <v>26</v>
      </c>
    </row>
    <row r="291" spans="1:7">
      <c r="A291" t="s">
        <v>307</v>
      </c>
      <c r="B291" t="s">
        <v>24</v>
      </c>
      <c r="C291" s="15">
        <v>66.5</v>
      </c>
      <c r="D291" s="15">
        <v>99.1</v>
      </c>
      <c r="E291" s="15">
        <v>83.5</v>
      </c>
      <c r="F291" s="15">
        <v>35.700000000000003</v>
      </c>
      <c r="G291" t="s">
        <v>22</v>
      </c>
    </row>
    <row r="292" spans="1:7">
      <c r="B292" t="s">
        <v>34</v>
      </c>
      <c r="C292" s="15">
        <v>76.099999999999994</v>
      </c>
      <c r="D292" s="15">
        <v>49</v>
      </c>
      <c r="E292" s="15">
        <v>44.8</v>
      </c>
      <c r="F292" s="15">
        <v>42</v>
      </c>
      <c r="G292" t="s">
        <v>22</v>
      </c>
    </row>
    <row r="293" spans="1:7">
      <c r="A293" t="s">
        <v>308</v>
      </c>
      <c r="B293" t="s">
        <v>30</v>
      </c>
      <c r="C293" s="15">
        <v>84.2</v>
      </c>
      <c r="D293" s="15">
        <v>61.6</v>
      </c>
      <c r="E293" s="15">
        <v>100</v>
      </c>
      <c r="F293" s="15">
        <v>77.5</v>
      </c>
      <c r="G293" t="s">
        <v>26</v>
      </c>
    </row>
    <row r="294" spans="1:7">
      <c r="A294" t="s">
        <v>309</v>
      </c>
      <c r="B294" t="s">
        <v>28</v>
      </c>
      <c r="C294" s="15">
        <v>58.5</v>
      </c>
      <c r="D294" s="15">
        <v>88</v>
      </c>
      <c r="E294" s="15">
        <v>67.099999999999994</v>
      </c>
      <c r="F294" s="15">
        <v>54.1</v>
      </c>
    </row>
    <row r="295" spans="1:7">
      <c r="A295" t="s">
        <v>310</v>
      </c>
      <c r="B295" t="s">
        <v>21</v>
      </c>
      <c r="C295" s="15">
        <v>100</v>
      </c>
      <c r="D295" s="15"/>
      <c r="E295" s="15">
        <v>72.400000000000006</v>
      </c>
      <c r="F295" s="15">
        <v>67.8</v>
      </c>
      <c r="G295" t="s">
        <v>26</v>
      </c>
    </row>
    <row r="296" spans="1:7">
      <c r="A296" t="s">
        <v>311</v>
      </c>
      <c r="B296" t="s">
        <v>30</v>
      </c>
      <c r="C296" s="15">
        <v>65.3</v>
      </c>
      <c r="D296" s="15">
        <v>92.9</v>
      </c>
      <c r="E296" s="15">
        <v>85.4</v>
      </c>
      <c r="F296" s="15">
        <v>68.2</v>
      </c>
      <c r="G296" t="s">
        <v>22</v>
      </c>
    </row>
    <row r="297" spans="1:7">
      <c r="A297" t="s">
        <v>312</v>
      </c>
      <c r="B297" t="s">
        <v>28</v>
      </c>
      <c r="C297" s="15">
        <v>93.4</v>
      </c>
      <c r="D297" s="15">
        <v>70.2</v>
      </c>
      <c r="E297" s="15">
        <v>80.400000000000006</v>
      </c>
      <c r="F297" s="15">
        <v>91.8</v>
      </c>
      <c r="G297" t="s">
        <v>26</v>
      </c>
    </row>
    <row r="298" spans="1:7">
      <c r="A298" t="s">
        <v>313</v>
      </c>
      <c r="B298" t="s">
        <v>34</v>
      </c>
      <c r="C298" s="15">
        <v>89.2</v>
      </c>
      <c r="D298" s="15">
        <v>100</v>
      </c>
      <c r="E298" s="15">
        <v>74.8</v>
      </c>
      <c r="F298" s="15">
        <v>73.599999999999994</v>
      </c>
      <c r="G298" t="s">
        <v>26</v>
      </c>
    </row>
    <row r="299" spans="1:7">
      <c r="A299" t="s">
        <v>314</v>
      </c>
      <c r="C299" s="15">
        <v>61.9</v>
      </c>
      <c r="D299" s="15">
        <v>78.400000000000006</v>
      </c>
      <c r="E299" s="15">
        <v>69</v>
      </c>
      <c r="F299" s="15">
        <v>90.6</v>
      </c>
      <c r="G299" t="s">
        <v>22</v>
      </c>
    </row>
    <row r="300" spans="1:7">
      <c r="A300" t="s">
        <v>315</v>
      </c>
      <c r="B300" t="s">
        <v>28</v>
      </c>
      <c r="C300" s="15">
        <v>63.5</v>
      </c>
      <c r="D300" s="15">
        <v>76.400000000000006</v>
      </c>
      <c r="E300" s="15">
        <v>88.6</v>
      </c>
      <c r="F300" s="15"/>
      <c r="G300" t="s">
        <v>22</v>
      </c>
    </row>
    <row r="301" spans="1:7">
      <c r="A301" t="s">
        <v>316</v>
      </c>
      <c r="B301" t="s">
        <v>34</v>
      </c>
      <c r="C301" s="15">
        <v>88.7</v>
      </c>
      <c r="D301" s="15"/>
      <c r="E301" s="15">
        <v>70.400000000000006</v>
      </c>
      <c r="F301" s="15">
        <v>63.1</v>
      </c>
      <c r="G3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62E4-CBD4-41D7-8050-A183233CF6F6}">
  <dimension ref="A1:L298"/>
  <sheetViews>
    <sheetView workbookViewId="0">
      <pane ySplit="1" topLeftCell="A8" activePane="bottomLeft" state="frozen"/>
      <selection pane="bottomLeft" activeCell="H13" sqref="H13"/>
    </sheetView>
  </sheetViews>
  <sheetFormatPr defaultRowHeight="14.5"/>
  <cols>
    <col min="1" max="1" width="14.81640625" bestFit="1" customWidth="1"/>
    <col min="2" max="2" width="21.08984375" bestFit="1" customWidth="1"/>
    <col min="3" max="3" width="22.7265625" bestFit="1" customWidth="1"/>
    <col min="4" max="4" width="23.7265625" customWidth="1"/>
    <col min="5" max="5" width="23.26953125" customWidth="1"/>
    <col min="6" max="6" width="19.1796875" customWidth="1"/>
    <col min="7" max="7" width="23.08984375" customWidth="1"/>
  </cols>
  <sheetData>
    <row r="1" spans="1:12" ht="15.5">
      <c r="A1" s="10" t="s">
        <v>13</v>
      </c>
      <c r="B1" s="10" t="s">
        <v>14</v>
      </c>
      <c r="C1" s="10" t="s">
        <v>15</v>
      </c>
      <c r="D1" s="10" t="s">
        <v>16</v>
      </c>
      <c r="E1" s="10" t="s">
        <v>17</v>
      </c>
      <c r="F1" s="10" t="s">
        <v>18</v>
      </c>
      <c r="G1" s="10" t="s">
        <v>19</v>
      </c>
    </row>
    <row r="2" spans="1:12">
      <c r="A2" s="2" t="s">
        <v>254</v>
      </c>
      <c r="B2" s="2" t="s">
        <v>30</v>
      </c>
      <c r="C2" s="2">
        <v>72.3</v>
      </c>
      <c r="D2" s="2">
        <v>55.5</v>
      </c>
      <c r="E2" s="2">
        <v>117</v>
      </c>
      <c r="F2" s="2">
        <v>80</v>
      </c>
      <c r="G2" s="2" t="s">
        <v>26</v>
      </c>
    </row>
    <row r="3" spans="1:12">
      <c r="A3" s="2" t="s">
        <v>36</v>
      </c>
      <c r="B3" s="2" t="s">
        <v>30</v>
      </c>
      <c r="C3" s="2">
        <v>77.900000000000006</v>
      </c>
      <c r="D3" s="2">
        <v>65.8</v>
      </c>
      <c r="E3" s="2">
        <v>100</v>
      </c>
      <c r="F3" s="2">
        <v>91</v>
      </c>
      <c r="G3" s="2" t="s">
        <v>26</v>
      </c>
      <c r="J3">
        <f>AVERAGEIF(G2:G298,"Good Standing",F2:F298)</f>
        <v>73.921758823529387</v>
      </c>
      <c r="L3">
        <f>AVERAGEIF(G2:G298,"At risk",F2:F298)</f>
        <v>66.370959999999997</v>
      </c>
    </row>
    <row r="4" spans="1:12">
      <c r="A4" s="2" t="s">
        <v>102</v>
      </c>
      <c r="B4" s="2" t="s">
        <v>91</v>
      </c>
      <c r="C4" s="2">
        <v>88.7</v>
      </c>
      <c r="D4" s="2">
        <v>85.3</v>
      </c>
      <c r="E4" s="2">
        <v>100</v>
      </c>
      <c r="F4" s="2">
        <v>69.400000000000006</v>
      </c>
      <c r="G4" s="2" t="s">
        <v>26</v>
      </c>
    </row>
    <row r="5" spans="1:12">
      <c r="A5" s="2" t="s">
        <v>148</v>
      </c>
      <c r="B5" s="2" t="s">
        <v>46</v>
      </c>
      <c r="C5" s="2">
        <v>73.7</v>
      </c>
      <c r="D5" s="2">
        <v>76.900000000000006</v>
      </c>
      <c r="E5" s="2">
        <v>100</v>
      </c>
      <c r="F5" s="2">
        <v>56.2</v>
      </c>
      <c r="G5" s="2" t="s">
        <v>26</v>
      </c>
      <c r="J5">
        <f>AVERAGEIF(G2:G298,"At Risk",F2:F298)</f>
        <v>66.370959999999997</v>
      </c>
    </row>
    <row r="6" spans="1:12">
      <c r="A6" s="2" t="s">
        <v>240</v>
      </c>
      <c r="B6" s="2" t="s">
        <v>34</v>
      </c>
      <c r="C6" s="2">
        <v>90.1</v>
      </c>
      <c r="D6" s="2">
        <v>69.8</v>
      </c>
      <c r="E6" s="2">
        <v>100</v>
      </c>
      <c r="F6" s="2">
        <v>96.1</v>
      </c>
      <c r="G6" s="2" t="s">
        <v>26</v>
      </c>
    </row>
    <row r="7" spans="1:12">
      <c r="A7" s="2" t="s">
        <v>260</v>
      </c>
      <c r="B7" s="2" t="s">
        <v>30</v>
      </c>
      <c r="C7" s="2">
        <v>80.7</v>
      </c>
      <c r="D7" s="2">
        <v>71.3</v>
      </c>
      <c r="E7" s="2">
        <v>100</v>
      </c>
      <c r="F7" s="2">
        <v>67.599999999999994</v>
      </c>
      <c r="G7" s="2" t="s">
        <v>26</v>
      </c>
    </row>
    <row r="8" spans="1:12">
      <c r="A8" s="2" t="s">
        <v>281</v>
      </c>
      <c r="B8" s="2" t="s">
        <v>34</v>
      </c>
      <c r="C8" s="2">
        <v>84.6</v>
      </c>
      <c r="D8" s="2">
        <v>79.8</v>
      </c>
      <c r="E8" s="2">
        <v>100</v>
      </c>
      <c r="F8" s="2">
        <v>64.2</v>
      </c>
      <c r="G8" s="2" t="s">
        <v>26</v>
      </c>
      <c r="J8">
        <f>AVERAGE(F2:F298)</f>
        <v>71.54388459459463</v>
      </c>
      <c r="K8" t="str">
        <f>IF(OR(D2&gt;=75,F2&gt;=80),"High Score/Attendance","")</f>
        <v>High Score/Attendance</v>
      </c>
    </row>
    <row r="9" spans="1:12">
      <c r="A9" s="2" t="s">
        <v>285</v>
      </c>
      <c r="B9" s="2" t="s">
        <v>24</v>
      </c>
      <c r="C9" s="2">
        <v>75.8</v>
      </c>
      <c r="D9" s="2">
        <v>69.8</v>
      </c>
      <c r="E9" s="2">
        <v>100</v>
      </c>
      <c r="F9" s="2">
        <v>91.7</v>
      </c>
      <c r="G9" s="2" t="s">
        <v>26</v>
      </c>
      <c r="K9" t="str">
        <f>IF(OR(D2&gt;=75,F2&gt;=80),"High Score/Attendance","")</f>
        <v>High Score/Attendance</v>
      </c>
    </row>
    <row r="10" spans="1:12">
      <c r="A10" s="2" t="s">
        <v>308</v>
      </c>
      <c r="B10" s="2" t="s">
        <v>30</v>
      </c>
      <c r="C10" s="2">
        <v>84.2</v>
      </c>
      <c r="D10" s="2">
        <v>61.6</v>
      </c>
      <c r="E10" s="2">
        <v>100</v>
      </c>
      <c r="F10" s="2">
        <v>77.5</v>
      </c>
      <c r="G10" s="2" t="s">
        <v>26</v>
      </c>
      <c r="J10">
        <f>AVERAGE(C2:C298)</f>
        <v>79.344444444444491</v>
      </c>
    </row>
    <row r="11" spans="1:12">
      <c r="A11" s="2" t="s">
        <v>218</v>
      </c>
      <c r="B11" s="2" t="s">
        <v>30</v>
      </c>
      <c r="C11" s="2">
        <v>58.7</v>
      </c>
      <c r="D11" s="2">
        <v>61.3</v>
      </c>
      <c r="E11" s="2">
        <v>99.6</v>
      </c>
      <c r="F11" s="2">
        <v>55.9</v>
      </c>
      <c r="G11" s="2" t="s">
        <v>22</v>
      </c>
    </row>
    <row r="12" spans="1:12">
      <c r="A12" s="2" t="s">
        <v>85</v>
      </c>
      <c r="B12" s="2" t="s">
        <v>21</v>
      </c>
      <c r="C12" s="2">
        <v>74</v>
      </c>
      <c r="D12" s="2">
        <v>49</v>
      </c>
      <c r="E12" s="2">
        <v>97.7</v>
      </c>
      <c r="F12" s="2">
        <v>58.8</v>
      </c>
      <c r="G12" s="2" t="s">
        <v>26</v>
      </c>
    </row>
    <row r="13" spans="1:12">
      <c r="A13" s="2" t="s">
        <v>317</v>
      </c>
      <c r="B13" s="2" t="s">
        <v>30</v>
      </c>
      <c r="C13" s="2">
        <v>67.8</v>
      </c>
      <c r="D13" s="2">
        <v>71.8</v>
      </c>
      <c r="E13" s="2">
        <v>97.5</v>
      </c>
      <c r="F13" s="2">
        <v>100</v>
      </c>
      <c r="G13" s="2" t="s">
        <v>22</v>
      </c>
    </row>
    <row r="14" spans="1:12">
      <c r="A14" s="2" t="s">
        <v>67</v>
      </c>
      <c r="B14" s="2" t="s">
        <v>21</v>
      </c>
      <c r="C14" s="2">
        <v>82.1</v>
      </c>
      <c r="D14" s="2">
        <v>74.099999999999994</v>
      </c>
      <c r="E14" s="2">
        <v>96.2</v>
      </c>
      <c r="F14" s="2">
        <v>86.2</v>
      </c>
      <c r="G14" s="2" t="s">
        <v>26</v>
      </c>
    </row>
    <row r="15" spans="1:12">
      <c r="A15" s="2" t="s">
        <v>293</v>
      </c>
      <c r="B15" s="2" t="s">
        <v>21</v>
      </c>
      <c r="C15" s="2">
        <v>92.7</v>
      </c>
      <c r="D15" s="2">
        <v>62.7</v>
      </c>
      <c r="E15" s="2">
        <v>96.1</v>
      </c>
      <c r="F15" s="2">
        <v>74.099999999999994</v>
      </c>
      <c r="G15" s="2" t="s">
        <v>26</v>
      </c>
    </row>
    <row r="16" spans="1:12">
      <c r="A16" s="2" t="s">
        <v>139</v>
      </c>
      <c r="B16" s="2" t="s">
        <v>21</v>
      </c>
      <c r="C16" s="2">
        <v>74.2</v>
      </c>
      <c r="D16" s="2">
        <v>71.400000000000006</v>
      </c>
      <c r="E16" s="2">
        <v>95.9</v>
      </c>
      <c r="F16" s="2">
        <v>80.400000000000006</v>
      </c>
      <c r="G16" s="2" t="s">
        <v>26</v>
      </c>
    </row>
    <row r="17" spans="1:7">
      <c r="A17" s="2" t="s">
        <v>66</v>
      </c>
      <c r="B17" s="2" t="s">
        <v>21</v>
      </c>
      <c r="C17" s="2">
        <v>63.3</v>
      </c>
      <c r="D17" s="2">
        <v>89.2</v>
      </c>
      <c r="E17" s="2">
        <v>95.1</v>
      </c>
      <c r="F17" s="2">
        <v>82.9</v>
      </c>
      <c r="G17" s="2" t="s">
        <v>22</v>
      </c>
    </row>
    <row r="18" spans="1:7">
      <c r="A18" s="2" t="s">
        <v>37</v>
      </c>
      <c r="B18" s="2" t="s">
        <v>34</v>
      </c>
      <c r="C18" s="2">
        <v>100</v>
      </c>
      <c r="D18" s="2">
        <v>71.5</v>
      </c>
      <c r="E18" s="2">
        <v>94.5</v>
      </c>
      <c r="F18" s="2">
        <v>93.4</v>
      </c>
      <c r="G18" s="2" t="s">
        <v>26</v>
      </c>
    </row>
    <row r="19" spans="1:7">
      <c r="A19" s="2" t="s">
        <v>135</v>
      </c>
      <c r="B19" s="2" t="s">
        <v>28</v>
      </c>
      <c r="C19" s="2">
        <v>83.7</v>
      </c>
      <c r="D19" s="2">
        <v>71.400000000000006</v>
      </c>
      <c r="E19" s="2">
        <v>93.6</v>
      </c>
      <c r="F19" s="2">
        <v>86.1</v>
      </c>
      <c r="G19" s="2" t="s">
        <v>26</v>
      </c>
    </row>
    <row r="20" spans="1:7">
      <c r="A20" s="2" t="s">
        <v>255</v>
      </c>
      <c r="B20" s="2" t="s">
        <v>28</v>
      </c>
      <c r="C20" s="2">
        <v>67.900000000000006</v>
      </c>
      <c r="D20" s="2">
        <v>55.5</v>
      </c>
      <c r="E20" s="2">
        <v>93.3</v>
      </c>
      <c r="F20" s="2">
        <v>62.9</v>
      </c>
      <c r="G20" s="2" t="s">
        <v>22</v>
      </c>
    </row>
    <row r="21" spans="1:7">
      <c r="A21" s="2" t="s">
        <v>175</v>
      </c>
      <c r="B21" s="2" t="s">
        <v>30</v>
      </c>
      <c r="C21" s="2">
        <v>75.400000000000006</v>
      </c>
      <c r="D21" s="2">
        <v>58.6</v>
      </c>
      <c r="E21" s="2">
        <v>92.1</v>
      </c>
      <c r="F21" s="2">
        <v>74.2</v>
      </c>
      <c r="G21" s="2" t="s">
        <v>26</v>
      </c>
    </row>
    <row r="22" spans="1:7">
      <c r="A22" s="2" t="s">
        <v>53</v>
      </c>
      <c r="B22" s="2" t="s">
        <v>24</v>
      </c>
      <c r="C22" s="2">
        <v>79.7</v>
      </c>
      <c r="D22" s="2">
        <v>91.4</v>
      </c>
      <c r="E22" s="2">
        <v>91.7</v>
      </c>
      <c r="F22" s="2">
        <v>70.400000000000006</v>
      </c>
      <c r="G22" s="2" t="s">
        <v>26</v>
      </c>
    </row>
    <row r="23" spans="1:7">
      <c r="A23" s="2" t="s">
        <v>243</v>
      </c>
      <c r="B23" s="2" t="s">
        <v>30</v>
      </c>
      <c r="C23" s="2">
        <v>78.599999999999994</v>
      </c>
      <c r="D23" s="2">
        <v>73.8</v>
      </c>
      <c r="E23" s="2">
        <v>91.4</v>
      </c>
      <c r="F23" s="2">
        <v>95.9</v>
      </c>
      <c r="G23" s="2" t="s">
        <v>26</v>
      </c>
    </row>
    <row r="24" spans="1:7">
      <c r="A24" s="2" t="s">
        <v>212</v>
      </c>
      <c r="B24" s="2" t="s">
        <v>21</v>
      </c>
      <c r="C24" s="2">
        <v>84.8</v>
      </c>
      <c r="D24" s="2">
        <v>86.2</v>
      </c>
      <c r="E24" s="2">
        <v>91.2</v>
      </c>
      <c r="F24" s="2">
        <v>60.8</v>
      </c>
      <c r="G24" s="2" t="s">
        <v>26</v>
      </c>
    </row>
    <row r="25" spans="1:7">
      <c r="A25" s="2" t="s">
        <v>317</v>
      </c>
      <c r="B25" s="2" t="s">
        <v>24</v>
      </c>
      <c r="C25" s="2">
        <v>74.599999999999994</v>
      </c>
      <c r="D25" s="2">
        <v>65.900000000000006</v>
      </c>
      <c r="E25" s="2">
        <v>90.9</v>
      </c>
      <c r="F25" s="2">
        <v>49.6</v>
      </c>
      <c r="G25" s="2" t="s">
        <v>26</v>
      </c>
    </row>
    <row r="26" spans="1:7">
      <c r="A26" s="2" t="s">
        <v>256</v>
      </c>
      <c r="B26" s="2" t="s">
        <v>46</v>
      </c>
      <c r="C26" s="2">
        <v>67.3</v>
      </c>
      <c r="D26" s="2">
        <v>81.599999999999994</v>
      </c>
      <c r="E26" s="2">
        <v>90.8</v>
      </c>
      <c r="F26" s="2">
        <v>84.6</v>
      </c>
      <c r="G26" s="2" t="s">
        <v>22</v>
      </c>
    </row>
    <row r="27" spans="1:7">
      <c r="A27" s="2" t="s">
        <v>317</v>
      </c>
      <c r="B27" s="2" t="s">
        <v>46</v>
      </c>
      <c r="C27" s="2">
        <v>90.7</v>
      </c>
      <c r="D27" s="2">
        <v>55</v>
      </c>
      <c r="E27" s="2">
        <v>89.8</v>
      </c>
      <c r="F27" s="2">
        <v>80.7</v>
      </c>
      <c r="G27" s="2" t="s">
        <v>26</v>
      </c>
    </row>
    <row r="28" spans="1:7">
      <c r="A28" s="2" t="s">
        <v>143</v>
      </c>
      <c r="B28" s="2" t="s">
        <v>21</v>
      </c>
      <c r="C28" s="2">
        <v>74.900000000000006</v>
      </c>
      <c r="D28" s="2">
        <v>55.3</v>
      </c>
      <c r="E28" s="2">
        <v>89.7</v>
      </c>
      <c r="F28" s="2">
        <v>114</v>
      </c>
      <c r="G28" s="2" t="s">
        <v>26</v>
      </c>
    </row>
    <row r="29" spans="1:7">
      <c r="A29" s="2" t="s">
        <v>33</v>
      </c>
      <c r="B29" s="2" t="s">
        <v>34</v>
      </c>
      <c r="C29" s="2">
        <v>73.400000000000006</v>
      </c>
      <c r="D29" s="2">
        <v>77.7</v>
      </c>
      <c r="E29" s="2">
        <v>89.4</v>
      </c>
      <c r="F29" s="2">
        <v>46.4</v>
      </c>
      <c r="G29" s="2" t="s">
        <v>26</v>
      </c>
    </row>
    <row r="30" spans="1:7">
      <c r="A30" s="2" t="s">
        <v>136</v>
      </c>
      <c r="B30" s="2" t="s">
        <v>34</v>
      </c>
      <c r="C30" s="2">
        <v>87.2</v>
      </c>
      <c r="D30" s="2">
        <v>68</v>
      </c>
      <c r="E30" s="2">
        <v>88.8</v>
      </c>
      <c r="F30" s="2">
        <v>71.543880000000001</v>
      </c>
      <c r="G30" s="2" t="s">
        <v>26</v>
      </c>
    </row>
    <row r="31" spans="1:7">
      <c r="A31" s="2" t="s">
        <v>188</v>
      </c>
      <c r="B31" s="2" t="s">
        <v>24</v>
      </c>
      <c r="C31" s="2">
        <v>-5</v>
      </c>
      <c r="D31" s="2">
        <v>70.400000000000006</v>
      </c>
      <c r="E31" s="2">
        <v>88.7</v>
      </c>
      <c r="F31" s="2">
        <v>76.400000000000006</v>
      </c>
      <c r="G31" s="2" t="s">
        <v>22</v>
      </c>
    </row>
    <row r="32" spans="1:7">
      <c r="A32" s="2" t="s">
        <v>204</v>
      </c>
      <c r="B32" s="2" t="s">
        <v>30</v>
      </c>
      <c r="C32" s="2">
        <v>70.7</v>
      </c>
      <c r="D32" s="2">
        <v>52.3</v>
      </c>
      <c r="E32" s="2">
        <v>88.7</v>
      </c>
      <c r="F32" s="2">
        <v>83</v>
      </c>
      <c r="G32" s="2" t="s">
        <v>26</v>
      </c>
    </row>
    <row r="33" spans="1:7">
      <c r="A33" s="2" t="s">
        <v>51</v>
      </c>
      <c r="B33" s="2" t="s">
        <v>34</v>
      </c>
      <c r="C33" s="2">
        <v>63.2</v>
      </c>
      <c r="D33" s="2">
        <v>51.3</v>
      </c>
      <c r="E33" s="2">
        <v>88.6</v>
      </c>
      <c r="F33" s="2">
        <v>97.8</v>
      </c>
      <c r="G33" s="2" t="s">
        <v>22</v>
      </c>
    </row>
    <row r="34" spans="1:7">
      <c r="A34" s="2" t="s">
        <v>315</v>
      </c>
      <c r="B34" s="2" t="s">
        <v>28</v>
      </c>
      <c r="C34" s="2">
        <v>63.5</v>
      </c>
      <c r="D34" s="2">
        <v>76.400000000000006</v>
      </c>
      <c r="E34" s="2">
        <v>88.6</v>
      </c>
      <c r="F34" s="2">
        <v>71.543880000000001</v>
      </c>
      <c r="G34" s="2" t="s">
        <v>22</v>
      </c>
    </row>
    <row r="35" spans="1:7">
      <c r="A35" s="2" t="s">
        <v>180</v>
      </c>
      <c r="B35" s="2" t="s">
        <v>91</v>
      </c>
      <c r="C35" s="2">
        <v>68.5</v>
      </c>
      <c r="D35" s="2">
        <v>57</v>
      </c>
      <c r="E35" s="2">
        <v>88.3</v>
      </c>
      <c r="F35" s="2">
        <v>77.599999999999994</v>
      </c>
      <c r="G35" s="2" t="s">
        <v>91</v>
      </c>
    </row>
    <row r="36" spans="1:7">
      <c r="A36" s="2" t="s">
        <v>259</v>
      </c>
      <c r="B36" s="2" t="s">
        <v>24</v>
      </c>
      <c r="C36" s="2">
        <v>73.2</v>
      </c>
      <c r="D36" s="2">
        <v>67</v>
      </c>
      <c r="E36" s="2">
        <v>88.2</v>
      </c>
      <c r="F36" s="2">
        <v>78</v>
      </c>
      <c r="G36" s="2" t="s">
        <v>26</v>
      </c>
    </row>
    <row r="37" spans="1:7">
      <c r="A37" s="2" t="s">
        <v>103</v>
      </c>
      <c r="B37" s="2" t="s">
        <v>34</v>
      </c>
      <c r="C37" s="2">
        <v>74.7</v>
      </c>
      <c r="D37" s="2">
        <v>51.5</v>
      </c>
      <c r="E37" s="2">
        <v>87.8</v>
      </c>
      <c r="F37" s="2">
        <v>111</v>
      </c>
      <c r="G37" s="2" t="s">
        <v>26</v>
      </c>
    </row>
    <row r="38" spans="1:7">
      <c r="A38" s="2" t="s">
        <v>171</v>
      </c>
      <c r="B38" s="2" t="s">
        <v>24</v>
      </c>
      <c r="C38" s="2">
        <v>65</v>
      </c>
      <c r="D38" s="2">
        <v>84.9</v>
      </c>
      <c r="E38" s="2">
        <v>87.5</v>
      </c>
      <c r="F38" s="2">
        <v>89.8</v>
      </c>
      <c r="G38" s="2" t="s">
        <v>22</v>
      </c>
    </row>
    <row r="39" spans="1:7">
      <c r="A39" s="2" t="s">
        <v>303</v>
      </c>
      <c r="B39" s="2" t="s">
        <v>28</v>
      </c>
      <c r="C39" s="2">
        <v>70.7</v>
      </c>
      <c r="D39" s="2">
        <v>70.3</v>
      </c>
      <c r="E39" s="2">
        <v>87.1</v>
      </c>
      <c r="F39" s="2">
        <v>77.599999999999994</v>
      </c>
      <c r="G39" s="2" t="s">
        <v>26</v>
      </c>
    </row>
    <row r="40" spans="1:7">
      <c r="A40" s="2" t="s">
        <v>40</v>
      </c>
      <c r="B40" s="2" t="s">
        <v>34</v>
      </c>
      <c r="C40" s="2">
        <v>83.9</v>
      </c>
      <c r="D40" s="2">
        <v>49.6</v>
      </c>
      <c r="E40" s="2">
        <v>86.8</v>
      </c>
      <c r="F40" s="2">
        <v>67</v>
      </c>
      <c r="G40" s="2" t="s">
        <v>26</v>
      </c>
    </row>
    <row r="41" spans="1:7">
      <c r="A41" s="2" t="s">
        <v>86</v>
      </c>
      <c r="B41" s="2" t="s">
        <v>30</v>
      </c>
      <c r="C41" s="2">
        <v>86.9</v>
      </c>
      <c r="D41" s="2">
        <v>77.400000000000006</v>
      </c>
      <c r="E41" s="2">
        <v>86.7</v>
      </c>
      <c r="F41" s="2">
        <v>63.1</v>
      </c>
      <c r="G41" s="2" t="s">
        <v>26</v>
      </c>
    </row>
    <row r="42" spans="1:7">
      <c r="A42" s="2" t="s">
        <v>99</v>
      </c>
      <c r="B42" s="2" t="s">
        <v>30</v>
      </c>
      <c r="C42" s="2">
        <v>86.7</v>
      </c>
      <c r="D42" s="2">
        <v>69.8</v>
      </c>
      <c r="E42" s="2">
        <v>86.4</v>
      </c>
      <c r="F42" s="2">
        <v>54.6</v>
      </c>
      <c r="G42" s="2" t="s">
        <v>26</v>
      </c>
    </row>
    <row r="43" spans="1:7">
      <c r="A43" s="2" t="s">
        <v>106</v>
      </c>
      <c r="B43" s="2" t="s">
        <v>28</v>
      </c>
      <c r="C43" s="2">
        <v>91.5</v>
      </c>
      <c r="D43" s="2">
        <v>75.8</v>
      </c>
      <c r="E43" s="2">
        <v>86.3</v>
      </c>
      <c r="F43" s="2">
        <v>87.5</v>
      </c>
      <c r="G43" s="2" t="s">
        <v>26</v>
      </c>
    </row>
    <row r="44" spans="1:7">
      <c r="A44" s="2" t="s">
        <v>142</v>
      </c>
      <c r="B44" s="2" t="s">
        <v>24</v>
      </c>
      <c r="C44" s="2">
        <v>71.8</v>
      </c>
      <c r="D44" s="2">
        <v>64.599999999999994</v>
      </c>
      <c r="E44" s="2">
        <v>86</v>
      </c>
      <c r="F44" s="2">
        <v>71.3</v>
      </c>
      <c r="G44" s="2" t="s">
        <v>26</v>
      </c>
    </row>
    <row r="45" spans="1:7">
      <c r="A45" s="2" t="s">
        <v>79</v>
      </c>
      <c r="B45" s="2" t="s">
        <v>46</v>
      </c>
      <c r="C45" s="2">
        <v>75.8</v>
      </c>
      <c r="D45" s="2">
        <v>70.599999999999994</v>
      </c>
      <c r="E45" s="2">
        <v>85.9</v>
      </c>
      <c r="F45" s="2">
        <v>72.7</v>
      </c>
      <c r="G45" s="2" t="s">
        <v>26</v>
      </c>
    </row>
    <row r="46" spans="1:7">
      <c r="A46" s="2" t="s">
        <v>128</v>
      </c>
      <c r="B46" s="2" t="s">
        <v>28</v>
      </c>
      <c r="C46" s="2">
        <v>99.9</v>
      </c>
      <c r="D46" s="2">
        <v>70.900000000000006</v>
      </c>
      <c r="E46" s="2">
        <v>85.9</v>
      </c>
      <c r="F46" s="2">
        <v>54.9</v>
      </c>
      <c r="G46" s="2" t="s">
        <v>26</v>
      </c>
    </row>
    <row r="47" spans="1:7">
      <c r="A47" s="2" t="s">
        <v>131</v>
      </c>
      <c r="B47" s="2" t="s">
        <v>28</v>
      </c>
      <c r="C47" s="2">
        <v>70</v>
      </c>
      <c r="D47" s="2">
        <v>53.4</v>
      </c>
      <c r="E47" s="2">
        <v>85.6</v>
      </c>
      <c r="F47" s="2">
        <v>59.1</v>
      </c>
      <c r="G47" s="2" t="s">
        <v>26</v>
      </c>
    </row>
    <row r="48" spans="1:7">
      <c r="A48" s="2" t="s">
        <v>220</v>
      </c>
      <c r="B48" s="2" t="s">
        <v>34</v>
      </c>
      <c r="C48" s="2">
        <v>85.1</v>
      </c>
      <c r="D48" s="2">
        <v>78.2</v>
      </c>
      <c r="E48" s="2">
        <v>85.5</v>
      </c>
      <c r="F48" s="2">
        <v>67.400000000000006</v>
      </c>
      <c r="G48" s="2" t="s">
        <v>26</v>
      </c>
    </row>
    <row r="49" spans="1:7">
      <c r="A49" s="2" t="s">
        <v>311</v>
      </c>
      <c r="B49" s="2" t="s">
        <v>30</v>
      </c>
      <c r="C49" s="2">
        <v>65.3</v>
      </c>
      <c r="D49" s="2">
        <v>92.9</v>
      </c>
      <c r="E49" s="2">
        <v>85.4</v>
      </c>
      <c r="F49" s="2">
        <v>68.2</v>
      </c>
      <c r="G49" s="2" t="s">
        <v>22</v>
      </c>
    </row>
    <row r="50" spans="1:7">
      <c r="A50" s="2" t="s">
        <v>50</v>
      </c>
      <c r="B50" s="2" t="s">
        <v>34</v>
      </c>
      <c r="C50" s="2">
        <v>84.4</v>
      </c>
      <c r="D50" s="2">
        <v>82</v>
      </c>
      <c r="E50" s="2">
        <v>85.2</v>
      </c>
      <c r="F50" s="2">
        <v>100</v>
      </c>
      <c r="G50" s="2" t="s">
        <v>26</v>
      </c>
    </row>
    <row r="51" spans="1:7">
      <c r="A51" s="2" t="s">
        <v>317</v>
      </c>
      <c r="B51" s="2" t="s">
        <v>30</v>
      </c>
      <c r="C51" s="2">
        <v>87.8</v>
      </c>
      <c r="D51" s="2">
        <v>75.099999999999994</v>
      </c>
      <c r="E51" s="2">
        <v>84.7</v>
      </c>
      <c r="F51" s="2">
        <v>80.099999999999994</v>
      </c>
      <c r="G51" s="2" t="s">
        <v>26</v>
      </c>
    </row>
    <row r="52" spans="1:7">
      <c r="A52" s="2" t="s">
        <v>168</v>
      </c>
      <c r="B52" s="2" t="s">
        <v>28</v>
      </c>
      <c r="C52" s="2">
        <v>98.5</v>
      </c>
      <c r="D52" s="2">
        <v>60.9</v>
      </c>
      <c r="E52" s="2">
        <v>83.8</v>
      </c>
      <c r="F52" s="2">
        <v>94.9</v>
      </c>
      <c r="G52" s="2" t="s">
        <v>26</v>
      </c>
    </row>
    <row r="53" spans="1:7">
      <c r="A53" s="2" t="s">
        <v>307</v>
      </c>
      <c r="B53" s="2" t="s">
        <v>24</v>
      </c>
      <c r="C53" s="2">
        <v>66.5</v>
      </c>
      <c r="D53" s="2">
        <v>99.1</v>
      </c>
      <c r="E53" s="2">
        <v>83.5</v>
      </c>
      <c r="F53" s="2">
        <v>35.700000000000003</v>
      </c>
      <c r="G53" s="2" t="s">
        <v>22</v>
      </c>
    </row>
    <row r="54" spans="1:7">
      <c r="A54" s="2" t="s">
        <v>56</v>
      </c>
      <c r="B54" s="2" t="s">
        <v>30</v>
      </c>
      <c r="C54" s="2">
        <v>48.8</v>
      </c>
      <c r="D54" s="2">
        <v>69.3</v>
      </c>
      <c r="E54" s="2">
        <v>83.2</v>
      </c>
      <c r="F54" s="2">
        <v>81</v>
      </c>
      <c r="G54" s="2" t="s">
        <v>91</v>
      </c>
    </row>
    <row r="55" spans="1:7">
      <c r="A55" s="2" t="s">
        <v>152</v>
      </c>
      <c r="B55" s="2" t="s">
        <v>91</v>
      </c>
      <c r="C55" s="2">
        <v>99.4</v>
      </c>
      <c r="D55" s="2">
        <v>76.7</v>
      </c>
      <c r="E55" s="2">
        <v>83.2</v>
      </c>
      <c r="F55" s="2">
        <v>100</v>
      </c>
      <c r="G55" s="2" t="s">
        <v>26</v>
      </c>
    </row>
    <row r="56" spans="1:7">
      <c r="A56" s="2" t="s">
        <v>41</v>
      </c>
      <c r="B56" s="2" t="s">
        <v>91</v>
      </c>
      <c r="C56" s="2">
        <v>98.6</v>
      </c>
      <c r="D56" s="2">
        <v>73.3</v>
      </c>
      <c r="E56" s="2">
        <v>83</v>
      </c>
      <c r="F56" s="2">
        <v>54.1</v>
      </c>
      <c r="G56" s="2" t="s">
        <v>26</v>
      </c>
    </row>
    <row r="57" spans="1:7">
      <c r="A57" s="2" t="s">
        <v>214</v>
      </c>
      <c r="B57" s="2" t="s">
        <v>21</v>
      </c>
      <c r="C57" s="2">
        <v>80.3</v>
      </c>
      <c r="D57" s="2">
        <v>90.3</v>
      </c>
      <c r="E57" s="2">
        <v>82.9</v>
      </c>
      <c r="F57" s="2">
        <v>74.599999999999994</v>
      </c>
      <c r="G57" s="2" t="s">
        <v>26</v>
      </c>
    </row>
    <row r="58" spans="1:7">
      <c r="A58" s="2" t="s">
        <v>231</v>
      </c>
      <c r="B58" s="2" t="s">
        <v>30</v>
      </c>
      <c r="C58" s="2">
        <v>91.8</v>
      </c>
      <c r="D58" s="2">
        <v>65.900000000000006</v>
      </c>
      <c r="E58" s="2">
        <v>82.7</v>
      </c>
      <c r="F58" s="2">
        <v>71.543880000000001</v>
      </c>
      <c r="G58" s="2" t="s">
        <v>26</v>
      </c>
    </row>
    <row r="59" spans="1:7">
      <c r="A59" s="2" t="s">
        <v>232</v>
      </c>
      <c r="B59" s="2" t="s">
        <v>30</v>
      </c>
      <c r="C59" s="2">
        <v>97.9</v>
      </c>
      <c r="D59" s="2">
        <v>55.2</v>
      </c>
      <c r="E59" s="2">
        <v>82.5</v>
      </c>
      <c r="F59" s="2">
        <v>50.1</v>
      </c>
      <c r="G59" s="2" t="s">
        <v>26</v>
      </c>
    </row>
    <row r="60" spans="1:7">
      <c r="A60" s="2" t="s">
        <v>54</v>
      </c>
      <c r="B60" s="2" t="s">
        <v>30</v>
      </c>
      <c r="C60" s="2">
        <v>85.5</v>
      </c>
      <c r="D60" s="2">
        <v>64.3</v>
      </c>
      <c r="E60" s="2">
        <v>81.8</v>
      </c>
      <c r="F60" s="2">
        <v>68.099999999999994</v>
      </c>
      <c r="G60" s="2" t="s">
        <v>26</v>
      </c>
    </row>
    <row r="61" spans="1:7">
      <c r="A61" s="2" t="s">
        <v>194</v>
      </c>
      <c r="B61" s="2" t="s">
        <v>34</v>
      </c>
      <c r="C61" s="2">
        <v>93.5</v>
      </c>
      <c r="D61" s="2">
        <v>65.900000000000006</v>
      </c>
      <c r="E61" s="2">
        <v>81.8</v>
      </c>
      <c r="F61" s="2">
        <v>37.200000000000003</v>
      </c>
      <c r="G61" s="2" t="s">
        <v>91</v>
      </c>
    </row>
    <row r="62" spans="1:7">
      <c r="A62" s="2" t="s">
        <v>294</v>
      </c>
      <c r="B62" s="2" t="s">
        <v>34</v>
      </c>
      <c r="C62" s="2">
        <v>77.3</v>
      </c>
      <c r="D62" s="2">
        <v>74.900000000000006</v>
      </c>
      <c r="E62" s="2">
        <v>81.599999999999994</v>
      </c>
      <c r="F62" s="2">
        <v>62.2</v>
      </c>
      <c r="G62" s="2" t="s">
        <v>26</v>
      </c>
    </row>
    <row r="63" spans="1:7">
      <c r="A63" s="2" t="s">
        <v>57</v>
      </c>
      <c r="B63" s="2" t="s">
        <v>34</v>
      </c>
      <c r="C63" s="2">
        <v>69.400000000000006</v>
      </c>
      <c r="D63" s="2">
        <v>56.1</v>
      </c>
      <c r="E63" s="2">
        <v>81.400000000000006</v>
      </c>
      <c r="F63" s="2">
        <v>71.543880000000001</v>
      </c>
      <c r="G63" s="2" t="s">
        <v>22</v>
      </c>
    </row>
    <row r="64" spans="1:7">
      <c r="A64" s="2" t="s">
        <v>223</v>
      </c>
      <c r="B64" s="2" t="s">
        <v>24</v>
      </c>
      <c r="C64" s="2">
        <v>84.9</v>
      </c>
      <c r="D64" s="2">
        <v>77.2</v>
      </c>
      <c r="E64" s="2">
        <v>81.400000000000006</v>
      </c>
      <c r="F64" s="2">
        <v>68</v>
      </c>
      <c r="G64" s="2" t="s">
        <v>91</v>
      </c>
    </row>
    <row r="65" spans="1:7">
      <c r="A65" s="2" t="s">
        <v>58</v>
      </c>
      <c r="B65" s="2" t="s">
        <v>24</v>
      </c>
      <c r="C65" s="2">
        <v>62.8</v>
      </c>
      <c r="D65" s="2">
        <v>80.3</v>
      </c>
      <c r="E65" s="2">
        <v>81.099999999999994</v>
      </c>
      <c r="F65" s="2">
        <v>87.7</v>
      </c>
      <c r="G65" s="2" t="s">
        <v>22</v>
      </c>
    </row>
    <row r="66" spans="1:7">
      <c r="A66" s="2" t="s">
        <v>117</v>
      </c>
      <c r="B66" s="2" t="s">
        <v>91</v>
      </c>
      <c r="C66" s="2">
        <v>83.8</v>
      </c>
      <c r="D66" s="2">
        <v>72.900000000000006</v>
      </c>
      <c r="E66" s="2">
        <v>80.900000000000006</v>
      </c>
      <c r="F66" s="2">
        <v>66.5</v>
      </c>
      <c r="G66" s="2" t="s">
        <v>26</v>
      </c>
    </row>
    <row r="67" spans="1:7">
      <c r="A67" s="2" t="s">
        <v>276</v>
      </c>
      <c r="B67" s="2" t="s">
        <v>24</v>
      </c>
      <c r="C67" s="2">
        <v>92.5</v>
      </c>
      <c r="D67" s="2">
        <v>79.3</v>
      </c>
      <c r="E67" s="2">
        <v>80.599999999999994</v>
      </c>
      <c r="F67" s="2">
        <v>79.3</v>
      </c>
      <c r="G67" s="2" t="s">
        <v>26</v>
      </c>
    </row>
    <row r="68" spans="1:7">
      <c r="A68" s="2" t="s">
        <v>312</v>
      </c>
      <c r="B68" s="2" t="s">
        <v>28</v>
      </c>
      <c r="C68" s="2">
        <v>93.4</v>
      </c>
      <c r="D68" s="2">
        <v>70.2</v>
      </c>
      <c r="E68" s="2">
        <v>80.400000000000006</v>
      </c>
      <c r="F68" s="2">
        <v>91.8</v>
      </c>
      <c r="G68" s="2" t="s">
        <v>26</v>
      </c>
    </row>
    <row r="69" spans="1:7">
      <c r="A69" s="2" t="s">
        <v>167</v>
      </c>
      <c r="B69" s="2" t="s">
        <v>91</v>
      </c>
      <c r="C69" s="2">
        <v>100</v>
      </c>
      <c r="D69" s="2">
        <v>67.400000000000006</v>
      </c>
      <c r="E69" s="2">
        <v>80</v>
      </c>
      <c r="F69" s="2">
        <v>89.4</v>
      </c>
      <c r="G69" s="2" t="s">
        <v>26</v>
      </c>
    </row>
    <row r="70" spans="1:7">
      <c r="A70" s="2" t="s">
        <v>196</v>
      </c>
      <c r="B70" s="2" t="s">
        <v>30</v>
      </c>
      <c r="C70" s="2">
        <v>70</v>
      </c>
      <c r="D70" s="2">
        <v>55.4</v>
      </c>
      <c r="E70" s="2">
        <v>79.8</v>
      </c>
      <c r="F70" s="2">
        <v>68.5</v>
      </c>
      <c r="G70" s="2" t="s">
        <v>26</v>
      </c>
    </row>
    <row r="71" spans="1:7">
      <c r="A71" s="2" t="s">
        <v>317</v>
      </c>
      <c r="B71" s="2" t="s">
        <v>46</v>
      </c>
      <c r="C71" s="2">
        <v>77.2</v>
      </c>
      <c r="D71" s="2">
        <v>90.9</v>
      </c>
      <c r="E71" s="2">
        <v>79.7</v>
      </c>
      <c r="F71" s="2">
        <v>61.9</v>
      </c>
      <c r="G71" s="2" t="s">
        <v>26</v>
      </c>
    </row>
    <row r="72" spans="1:7">
      <c r="A72" s="2" t="s">
        <v>205</v>
      </c>
      <c r="B72" s="2" t="s">
        <v>206</v>
      </c>
      <c r="C72" s="2">
        <v>59.4</v>
      </c>
      <c r="D72" s="2">
        <v>69.8</v>
      </c>
      <c r="E72" s="2">
        <v>79.7</v>
      </c>
      <c r="F72" s="2">
        <v>55.7</v>
      </c>
      <c r="G72" s="2" t="s">
        <v>207</v>
      </c>
    </row>
    <row r="73" spans="1:7">
      <c r="A73" s="2" t="s">
        <v>229</v>
      </c>
      <c r="B73" s="2" t="s">
        <v>46</v>
      </c>
      <c r="C73" s="2">
        <v>-4</v>
      </c>
      <c r="D73" s="2">
        <v>69.8</v>
      </c>
      <c r="E73" s="2">
        <v>79.7</v>
      </c>
      <c r="F73" s="2">
        <v>61.9</v>
      </c>
      <c r="G73" s="2" t="s">
        <v>26</v>
      </c>
    </row>
    <row r="74" spans="1:7">
      <c r="A74" s="2" t="s">
        <v>55</v>
      </c>
      <c r="B74" s="2" t="s">
        <v>30</v>
      </c>
      <c r="C74" s="2">
        <v>58.7</v>
      </c>
      <c r="D74" s="2">
        <v>60.8</v>
      </c>
      <c r="E74" s="2">
        <v>79.5</v>
      </c>
      <c r="F74" s="2">
        <v>63</v>
      </c>
      <c r="G74" s="2" t="s">
        <v>26</v>
      </c>
    </row>
    <row r="75" spans="1:7">
      <c r="A75" s="2" t="s">
        <v>120</v>
      </c>
      <c r="B75" s="2" t="s">
        <v>28</v>
      </c>
      <c r="C75" s="2">
        <v>68.599999999999994</v>
      </c>
      <c r="D75" s="2">
        <v>41.9</v>
      </c>
      <c r="E75" s="2">
        <v>79.3</v>
      </c>
      <c r="F75" s="2">
        <v>52.2</v>
      </c>
      <c r="G75" s="2" t="s">
        <v>91</v>
      </c>
    </row>
    <row r="76" spans="1:7">
      <c r="A76" s="2" t="s">
        <v>44</v>
      </c>
      <c r="B76" s="2" t="s">
        <v>34</v>
      </c>
      <c r="C76" s="2">
        <v>100</v>
      </c>
      <c r="D76" s="2">
        <v>43.6</v>
      </c>
      <c r="E76" s="2">
        <v>79</v>
      </c>
      <c r="F76" s="2">
        <v>85.6</v>
      </c>
      <c r="G76" s="2" t="s">
        <v>26</v>
      </c>
    </row>
    <row r="77" spans="1:7">
      <c r="A77" s="2" t="s">
        <v>317</v>
      </c>
      <c r="B77" s="2" t="s">
        <v>24</v>
      </c>
      <c r="C77" s="2">
        <v>100</v>
      </c>
      <c r="D77" s="2">
        <v>65.8</v>
      </c>
      <c r="E77" s="2">
        <v>79</v>
      </c>
      <c r="F77" s="2">
        <v>67.7</v>
      </c>
      <c r="G77" s="2" t="s">
        <v>26</v>
      </c>
    </row>
    <row r="78" spans="1:7">
      <c r="A78" s="2" t="s">
        <v>246</v>
      </c>
      <c r="B78" s="2" t="s">
        <v>46</v>
      </c>
      <c r="C78" s="2">
        <v>83.3</v>
      </c>
      <c r="D78" s="2">
        <v>98.7</v>
      </c>
      <c r="E78" s="2">
        <v>78.7</v>
      </c>
      <c r="F78" s="2">
        <v>71.543880000000001</v>
      </c>
      <c r="G78" s="2" t="s">
        <v>26</v>
      </c>
    </row>
    <row r="79" spans="1:7">
      <c r="A79" s="2" t="s">
        <v>189</v>
      </c>
      <c r="B79" s="2" t="s">
        <v>24</v>
      </c>
      <c r="C79" s="2">
        <v>91.4</v>
      </c>
      <c r="D79" s="2">
        <v>82</v>
      </c>
      <c r="E79" s="2">
        <v>78.599999999999994</v>
      </c>
      <c r="F79" s="2">
        <v>85.4</v>
      </c>
      <c r="G79" s="2" t="s">
        <v>26</v>
      </c>
    </row>
    <row r="80" spans="1:7">
      <c r="A80" s="2" t="s">
        <v>68</v>
      </c>
      <c r="B80" s="2" t="s">
        <v>21</v>
      </c>
      <c r="C80" s="2">
        <v>94.8</v>
      </c>
      <c r="D80" s="2">
        <v>79.099999999999994</v>
      </c>
      <c r="E80" s="2">
        <v>78.5</v>
      </c>
      <c r="F80" s="2">
        <v>62.3</v>
      </c>
      <c r="G80" s="2" t="s">
        <v>26</v>
      </c>
    </row>
    <row r="81" spans="1:7">
      <c r="A81" s="2" t="s">
        <v>163</v>
      </c>
      <c r="B81" s="2" t="s">
        <v>24</v>
      </c>
      <c r="C81" s="2">
        <v>100</v>
      </c>
      <c r="D81" s="2">
        <v>83.4</v>
      </c>
      <c r="E81" s="2">
        <v>78.5</v>
      </c>
      <c r="F81" s="2">
        <v>77.400000000000006</v>
      </c>
      <c r="G81" s="2" t="s">
        <v>26</v>
      </c>
    </row>
    <row r="82" spans="1:7">
      <c r="A82" s="2" t="s">
        <v>84</v>
      </c>
      <c r="B82" s="2" t="s">
        <v>34</v>
      </c>
      <c r="C82" s="2">
        <v>83.3</v>
      </c>
      <c r="D82" s="2">
        <v>79.099999999999994</v>
      </c>
      <c r="E82" s="2">
        <v>78.400000000000006</v>
      </c>
      <c r="F82" s="2">
        <v>86.6</v>
      </c>
      <c r="G82" s="2" t="s">
        <v>26</v>
      </c>
    </row>
    <row r="83" spans="1:7">
      <c r="A83" s="2" t="s">
        <v>179</v>
      </c>
      <c r="B83" s="2" t="s">
        <v>34</v>
      </c>
      <c r="C83" s="2">
        <v>83.1</v>
      </c>
      <c r="D83" s="2">
        <v>77.3</v>
      </c>
      <c r="E83" s="2">
        <v>78.400000000000006</v>
      </c>
      <c r="F83" s="2">
        <v>57.1</v>
      </c>
      <c r="G83" s="2" t="s">
        <v>26</v>
      </c>
    </row>
    <row r="84" spans="1:7">
      <c r="A84" s="2" t="s">
        <v>288</v>
      </c>
      <c r="B84" s="2" t="s">
        <v>21</v>
      </c>
      <c r="C84" s="2">
        <v>71.8</v>
      </c>
      <c r="D84" s="2">
        <v>78.2</v>
      </c>
      <c r="E84" s="2">
        <v>78.400000000000006</v>
      </c>
      <c r="F84" s="2">
        <v>58</v>
      </c>
      <c r="G84" s="2" t="s">
        <v>26</v>
      </c>
    </row>
    <row r="85" spans="1:7">
      <c r="A85" s="2" t="s">
        <v>77</v>
      </c>
      <c r="B85" s="2" t="s">
        <v>28</v>
      </c>
      <c r="C85" s="2">
        <v>98.1</v>
      </c>
      <c r="D85" s="2">
        <v>65</v>
      </c>
      <c r="E85" s="2">
        <v>78.3</v>
      </c>
      <c r="F85" s="2">
        <v>58.1</v>
      </c>
      <c r="G85" s="2" t="s">
        <v>26</v>
      </c>
    </row>
    <row r="86" spans="1:7">
      <c r="A86" s="2" t="s">
        <v>130</v>
      </c>
      <c r="B86" s="2" t="s">
        <v>34</v>
      </c>
      <c r="C86" s="2">
        <v>81.900000000000006</v>
      </c>
      <c r="D86" s="2">
        <v>67.3</v>
      </c>
      <c r="E86" s="2">
        <v>78.3</v>
      </c>
      <c r="F86" s="2">
        <v>62</v>
      </c>
      <c r="G86" s="2" t="s">
        <v>91</v>
      </c>
    </row>
    <row r="87" spans="1:7">
      <c r="A87" s="2" t="s">
        <v>45</v>
      </c>
      <c r="B87" s="2" t="s">
        <v>46</v>
      </c>
      <c r="C87" s="2">
        <v>83.4</v>
      </c>
      <c r="D87" s="2">
        <v>52.8</v>
      </c>
      <c r="E87" s="2">
        <v>78.099999999999994</v>
      </c>
      <c r="F87" s="2">
        <v>72.5</v>
      </c>
      <c r="G87" s="2" t="s">
        <v>26</v>
      </c>
    </row>
    <row r="88" spans="1:7">
      <c r="A88" s="2" t="s">
        <v>146</v>
      </c>
      <c r="B88" s="2" t="s">
        <v>24</v>
      </c>
      <c r="C88" s="2">
        <v>60.5</v>
      </c>
      <c r="D88" s="2">
        <v>69.8</v>
      </c>
      <c r="E88" s="2">
        <v>78.099999999999994</v>
      </c>
      <c r="F88" s="2">
        <v>75.3</v>
      </c>
      <c r="G88" s="2" t="s">
        <v>22</v>
      </c>
    </row>
    <row r="89" spans="1:7">
      <c r="A89" s="2" t="s">
        <v>75</v>
      </c>
      <c r="B89" s="2" t="s">
        <v>28</v>
      </c>
      <c r="C89" s="2">
        <v>82.1</v>
      </c>
      <c r="D89" s="2">
        <v>62.9</v>
      </c>
      <c r="E89" s="2">
        <v>77.900000000000006</v>
      </c>
      <c r="F89" s="2">
        <v>68.2</v>
      </c>
      <c r="G89" s="2" t="s">
        <v>26</v>
      </c>
    </row>
    <row r="90" spans="1:7">
      <c r="A90" s="2" t="s">
        <v>160</v>
      </c>
      <c r="B90" s="2" t="s">
        <v>34</v>
      </c>
      <c r="C90" s="2">
        <v>85.4</v>
      </c>
      <c r="D90" s="2">
        <v>61.4</v>
      </c>
      <c r="E90" s="2">
        <v>77.900000000000006</v>
      </c>
      <c r="F90" s="2">
        <v>76</v>
      </c>
      <c r="G90" s="2" t="s">
        <v>26</v>
      </c>
    </row>
    <row r="91" spans="1:7">
      <c r="A91" s="2" t="s">
        <v>197</v>
      </c>
      <c r="B91" s="2" t="s">
        <v>34</v>
      </c>
      <c r="C91" s="2">
        <v>70.7</v>
      </c>
      <c r="D91" s="2">
        <v>62</v>
      </c>
      <c r="E91" s="2">
        <v>77.8</v>
      </c>
      <c r="F91" s="2">
        <v>49</v>
      </c>
      <c r="G91" s="2" t="s">
        <v>26</v>
      </c>
    </row>
    <row r="92" spans="1:7">
      <c r="A92" s="2" t="s">
        <v>217</v>
      </c>
      <c r="B92" s="2" t="s">
        <v>28</v>
      </c>
      <c r="C92" s="2">
        <v>94.2</v>
      </c>
      <c r="D92" s="2">
        <v>67.599999999999994</v>
      </c>
      <c r="E92" s="2">
        <v>77.5</v>
      </c>
      <c r="F92" s="2">
        <v>93.3</v>
      </c>
      <c r="G92" s="2" t="s">
        <v>26</v>
      </c>
    </row>
    <row r="93" spans="1:7">
      <c r="A93" s="2" t="s">
        <v>121</v>
      </c>
      <c r="B93" s="2" t="s">
        <v>34</v>
      </c>
      <c r="C93" s="2">
        <v>59</v>
      </c>
      <c r="D93" s="2">
        <v>60.4</v>
      </c>
      <c r="E93" s="2">
        <v>77</v>
      </c>
      <c r="F93" s="2">
        <v>71.543880000000001</v>
      </c>
      <c r="G93" s="2" t="s">
        <v>22</v>
      </c>
    </row>
    <row r="94" spans="1:7">
      <c r="A94" s="2" t="s">
        <v>241</v>
      </c>
      <c r="B94" s="2" t="s">
        <v>24</v>
      </c>
      <c r="C94" s="2">
        <v>83.5</v>
      </c>
      <c r="D94" s="2">
        <v>44.3</v>
      </c>
      <c r="E94" s="2">
        <v>77</v>
      </c>
      <c r="F94" s="2">
        <v>75.7</v>
      </c>
      <c r="G94" s="2" t="s">
        <v>26</v>
      </c>
    </row>
    <row r="95" spans="1:7">
      <c r="A95" s="2" t="s">
        <v>115</v>
      </c>
      <c r="B95" s="2" t="s">
        <v>24</v>
      </c>
      <c r="C95" s="2">
        <v>67</v>
      </c>
      <c r="D95" s="2">
        <v>87.7</v>
      </c>
      <c r="E95" s="2">
        <v>76.900000000000006</v>
      </c>
      <c r="F95" s="2">
        <v>74.599999999999994</v>
      </c>
      <c r="G95" s="2" t="s">
        <v>22</v>
      </c>
    </row>
    <row r="96" spans="1:7">
      <c r="A96" s="2" t="s">
        <v>108</v>
      </c>
      <c r="B96" s="2" t="s">
        <v>24</v>
      </c>
      <c r="C96" s="2">
        <v>78.8</v>
      </c>
      <c r="D96" s="2">
        <v>69.8</v>
      </c>
      <c r="E96" s="2">
        <v>76.8</v>
      </c>
      <c r="F96" s="2">
        <v>48.2</v>
      </c>
      <c r="G96" s="2" t="s">
        <v>26</v>
      </c>
    </row>
    <row r="97" spans="1:7">
      <c r="A97" s="2" t="s">
        <v>155</v>
      </c>
      <c r="B97" s="2" t="s">
        <v>34</v>
      </c>
      <c r="C97" s="2">
        <v>82.7</v>
      </c>
      <c r="D97" s="2">
        <v>69.8</v>
      </c>
      <c r="E97" s="2">
        <v>76.8</v>
      </c>
      <c r="F97" s="2">
        <v>74.5</v>
      </c>
      <c r="G97" s="2" t="s">
        <v>26</v>
      </c>
    </row>
    <row r="98" spans="1:7">
      <c r="A98" s="2" t="s">
        <v>203</v>
      </c>
      <c r="B98" s="2" t="s">
        <v>24</v>
      </c>
      <c r="C98" s="2">
        <v>65</v>
      </c>
      <c r="D98" s="2">
        <v>89.3</v>
      </c>
      <c r="E98" s="2">
        <v>76.8</v>
      </c>
      <c r="F98" s="2">
        <v>53</v>
      </c>
      <c r="G98" s="2" t="s">
        <v>22</v>
      </c>
    </row>
    <row r="99" spans="1:7">
      <c r="A99" s="2" t="s">
        <v>299</v>
      </c>
      <c r="B99" s="2" t="s">
        <v>21</v>
      </c>
      <c r="C99" s="2">
        <v>60.8</v>
      </c>
      <c r="D99" s="2">
        <v>77.400000000000006</v>
      </c>
      <c r="E99" s="2">
        <v>76.8</v>
      </c>
      <c r="F99" s="2">
        <v>41.7</v>
      </c>
      <c r="G99" s="2" t="s">
        <v>91</v>
      </c>
    </row>
    <row r="100" spans="1:7">
      <c r="A100" s="2" t="s">
        <v>172</v>
      </c>
      <c r="B100" s="2" t="s">
        <v>28</v>
      </c>
      <c r="C100" s="2">
        <v>100</v>
      </c>
      <c r="D100" s="2">
        <v>64.099999999999994</v>
      </c>
      <c r="E100" s="2">
        <v>76.599999999999994</v>
      </c>
      <c r="F100" s="2">
        <v>68.599999999999994</v>
      </c>
      <c r="G100" s="2" t="s">
        <v>26</v>
      </c>
    </row>
    <row r="101" spans="1:7">
      <c r="A101" s="2" t="s">
        <v>317</v>
      </c>
      <c r="B101" s="2" t="s">
        <v>30</v>
      </c>
      <c r="C101" s="2">
        <v>70.099999999999994</v>
      </c>
      <c r="D101" s="2">
        <v>75.900000000000006</v>
      </c>
      <c r="E101" s="2">
        <v>76.2</v>
      </c>
      <c r="F101" s="2">
        <v>55.4</v>
      </c>
      <c r="G101" s="2" t="s">
        <v>26</v>
      </c>
    </row>
    <row r="102" spans="1:7">
      <c r="A102" s="2" t="s">
        <v>63</v>
      </c>
      <c r="B102" s="2" t="s">
        <v>28</v>
      </c>
      <c r="C102" s="2">
        <v>58.7</v>
      </c>
      <c r="D102" s="2">
        <v>72.2</v>
      </c>
      <c r="E102" s="2">
        <v>75.7</v>
      </c>
      <c r="F102" s="2">
        <v>67.7</v>
      </c>
      <c r="G102" s="2" t="s">
        <v>26</v>
      </c>
    </row>
    <row r="103" spans="1:7">
      <c r="A103" s="2" t="s">
        <v>107</v>
      </c>
      <c r="B103" s="2" t="s">
        <v>24</v>
      </c>
      <c r="C103" s="2">
        <v>92.4</v>
      </c>
      <c r="D103" s="2">
        <v>69.099999999999994</v>
      </c>
      <c r="E103" s="2">
        <v>75.7</v>
      </c>
      <c r="F103" s="2">
        <v>36.700000000000003</v>
      </c>
      <c r="G103" s="2" t="s">
        <v>26</v>
      </c>
    </row>
    <row r="104" spans="1:7">
      <c r="A104" s="2" t="s">
        <v>35</v>
      </c>
      <c r="B104" s="2" t="s">
        <v>21</v>
      </c>
      <c r="C104" s="2">
        <v>58.7</v>
      </c>
      <c r="D104" s="2">
        <v>51.3</v>
      </c>
      <c r="E104" s="2">
        <v>75.599999999999994</v>
      </c>
      <c r="F104" s="2">
        <v>35.799999999999997</v>
      </c>
      <c r="G104" s="2" t="s">
        <v>22</v>
      </c>
    </row>
    <row r="105" spans="1:7">
      <c r="A105" s="2" t="s">
        <v>132</v>
      </c>
      <c r="B105" s="2" t="s">
        <v>24</v>
      </c>
      <c r="C105" s="2">
        <v>100</v>
      </c>
      <c r="D105" s="2">
        <v>79.7</v>
      </c>
      <c r="E105" s="2">
        <v>75.400000000000006</v>
      </c>
      <c r="F105" s="2">
        <v>95.3</v>
      </c>
      <c r="G105" s="2" t="s">
        <v>26</v>
      </c>
    </row>
    <row r="106" spans="1:7">
      <c r="A106" s="2" t="s">
        <v>289</v>
      </c>
      <c r="B106" s="2" t="s">
        <v>30</v>
      </c>
      <c r="C106" s="2">
        <v>69.900000000000006</v>
      </c>
      <c r="D106" s="2">
        <v>79.7</v>
      </c>
      <c r="E106" s="2">
        <v>75.400000000000006</v>
      </c>
      <c r="F106" s="2">
        <v>59.3</v>
      </c>
      <c r="G106" s="2" t="s">
        <v>91</v>
      </c>
    </row>
    <row r="107" spans="1:7">
      <c r="A107" s="2" t="s">
        <v>257</v>
      </c>
      <c r="B107" s="2" t="s">
        <v>28</v>
      </c>
      <c r="C107" s="2">
        <v>95</v>
      </c>
      <c r="D107" s="2">
        <v>99.5</v>
      </c>
      <c r="E107" s="2">
        <v>74.8</v>
      </c>
      <c r="F107" s="2">
        <v>82.7</v>
      </c>
      <c r="G107" s="2" t="s">
        <v>26</v>
      </c>
    </row>
    <row r="108" spans="1:7">
      <c r="A108" s="2" t="s">
        <v>313</v>
      </c>
      <c r="B108" s="2" t="s">
        <v>34</v>
      </c>
      <c r="C108" s="2">
        <v>89.2</v>
      </c>
      <c r="D108" s="2">
        <v>100</v>
      </c>
      <c r="E108" s="2">
        <v>74.8</v>
      </c>
      <c r="F108" s="2">
        <v>73.599999999999994</v>
      </c>
      <c r="G108" s="2" t="s">
        <v>26</v>
      </c>
    </row>
    <row r="109" spans="1:7">
      <c r="A109" s="2" t="s">
        <v>268</v>
      </c>
      <c r="B109" s="2" t="s">
        <v>269</v>
      </c>
      <c r="C109" s="2">
        <v>70.400000000000006</v>
      </c>
      <c r="D109" s="2">
        <v>69.099999999999994</v>
      </c>
      <c r="E109" s="2">
        <v>74.7</v>
      </c>
      <c r="F109" s="2">
        <v>77.400000000000006</v>
      </c>
      <c r="G109" s="2" t="s">
        <v>26</v>
      </c>
    </row>
    <row r="110" spans="1:7">
      <c r="A110" s="2" t="s">
        <v>193</v>
      </c>
      <c r="B110" s="2" t="s">
        <v>28</v>
      </c>
      <c r="C110" s="2">
        <v>93.3</v>
      </c>
      <c r="D110" s="2">
        <v>79</v>
      </c>
      <c r="E110" s="2">
        <v>74.2</v>
      </c>
      <c r="F110" s="2">
        <v>27.5</v>
      </c>
      <c r="G110" s="2" t="s">
        <v>26</v>
      </c>
    </row>
    <row r="111" spans="1:7">
      <c r="A111" s="2" t="s">
        <v>202</v>
      </c>
      <c r="B111" s="2" t="s">
        <v>34</v>
      </c>
      <c r="C111" s="2">
        <v>83.3</v>
      </c>
      <c r="D111" s="2">
        <v>41.4</v>
      </c>
      <c r="E111" s="2">
        <v>74.099999999999994</v>
      </c>
      <c r="F111" s="2">
        <v>51.5</v>
      </c>
      <c r="G111" s="2" t="s">
        <v>22</v>
      </c>
    </row>
    <row r="112" spans="1:7">
      <c r="A112" s="2" t="s">
        <v>252</v>
      </c>
      <c r="B112" s="2" t="s">
        <v>30</v>
      </c>
      <c r="C112" s="2">
        <v>88.3</v>
      </c>
      <c r="D112" s="2">
        <v>72.400000000000006</v>
      </c>
      <c r="E112" s="2">
        <v>73.599999999999994</v>
      </c>
      <c r="F112" s="2">
        <v>71.543880000000001</v>
      </c>
      <c r="G112" s="2" t="s">
        <v>26</v>
      </c>
    </row>
    <row r="113" spans="1:7">
      <c r="A113" s="2" t="s">
        <v>277</v>
      </c>
      <c r="B113" s="2" t="s">
        <v>28</v>
      </c>
      <c r="C113" s="2">
        <v>77.2</v>
      </c>
      <c r="D113" s="2">
        <v>91.8</v>
      </c>
      <c r="E113" s="2">
        <v>73.099999999999994</v>
      </c>
      <c r="F113" s="2">
        <v>98.2</v>
      </c>
      <c r="G113" s="2" t="s">
        <v>26</v>
      </c>
    </row>
    <row r="114" spans="1:7">
      <c r="A114" s="2" t="s">
        <v>305</v>
      </c>
      <c r="B114" s="2" t="s">
        <v>30</v>
      </c>
      <c r="C114" s="2">
        <v>70.900000000000006</v>
      </c>
      <c r="D114" s="2">
        <v>87.1</v>
      </c>
      <c r="E114" s="2">
        <v>73.099999999999994</v>
      </c>
      <c r="F114" s="2">
        <v>100</v>
      </c>
      <c r="G114" s="2" t="s">
        <v>26</v>
      </c>
    </row>
    <row r="115" spans="1:7">
      <c r="A115" s="2" t="s">
        <v>173</v>
      </c>
      <c r="B115" s="2" t="s">
        <v>21</v>
      </c>
      <c r="C115" s="2">
        <v>94</v>
      </c>
      <c r="D115" s="2">
        <v>85.7</v>
      </c>
      <c r="E115" s="2">
        <v>73</v>
      </c>
      <c r="F115" s="2">
        <v>83.7</v>
      </c>
      <c r="G115" s="2" t="s">
        <v>26</v>
      </c>
    </row>
    <row r="116" spans="1:7">
      <c r="A116" s="2" t="s">
        <v>225</v>
      </c>
      <c r="B116" s="2" t="s">
        <v>30</v>
      </c>
      <c r="C116" s="2">
        <v>89.8</v>
      </c>
      <c r="D116" s="2">
        <v>62.5</v>
      </c>
      <c r="E116" s="2">
        <v>73</v>
      </c>
      <c r="F116" s="2">
        <v>37.4</v>
      </c>
      <c r="G116" s="2" t="s">
        <v>22</v>
      </c>
    </row>
    <row r="117" spans="1:7">
      <c r="A117" s="2" t="s">
        <v>60</v>
      </c>
      <c r="B117" s="2" t="s">
        <v>24</v>
      </c>
      <c r="C117" s="2">
        <v>76.2</v>
      </c>
      <c r="D117" s="2">
        <v>66.900000000000006</v>
      </c>
      <c r="E117" s="2">
        <v>72.900000000000006</v>
      </c>
      <c r="F117" s="2">
        <v>71.543880000000001</v>
      </c>
      <c r="G117" s="2" t="s">
        <v>26</v>
      </c>
    </row>
    <row r="118" spans="1:7">
      <c r="A118" s="2" t="s">
        <v>156</v>
      </c>
      <c r="B118" s="2" t="s">
        <v>34</v>
      </c>
      <c r="C118" s="2">
        <v>66.3</v>
      </c>
      <c r="D118" s="2">
        <v>80.099999999999994</v>
      </c>
      <c r="E118" s="2">
        <v>72.8</v>
      </c>
      <c r="F118" s="2">
        <v>71.543880000000001</v>
      </c>
      <c r="G118" s="2" t="s">
        <v>22</v>
      </c>
    </row>
    <row r="119" spans="1:7">
      <c r="A119" s="2" t="s">
        <v>82</v>
      </c>
      <c r="B119" s="2" t="s">
        <v>34</v>
      </c>
      <c r="C119" s="2">
        <v>58.7</v>
      </c>
      <c r="D119" s="2">
        <v>72.5</v>
      </c>
      <c r="E119" s="2">
        <v>72.7</v>
      </c>
      <c r="F119" s="2">
        <v>47.5</v>
      </c>
      <c r="G119" s="2" t="s">
        <v>26</v>
      </c>
    </row>
    <row r="120" spans="1:7">
      <c r="A120" s="2" t="s">
        <v>208</v>
      </c>
      <c r="B120" s="2" t="s">
        <v>24</v>
      </c>
      <c r="C120" s="2">
        <v>88.8</v>
      </c>
      <c r="D120" s="2">
        <v>83.4</v>
      </c>
      <c r="E120" s="2">
        <v>72.5</v>
      </c>
      <c r="F120" s="2">
        <v>73.2</v>
      </c>
      <c r="G120" s="2" t="s">
        <v>26</v>
      </c>
    </row>
    <row r="121" spans="1:7">
      <c r="A121" s="2" t="s">
        <v>310</v>
      </c>
      <c r="B121" s="2" t="s">
        <v>21</v>
      </c>
      <c r="C121" s="2">
        <v>100</v>
      </c>
      <c r="D121" s="2">
        <v>69.8</v>
      </c>
      <c r="E121" s="2">
        <v>72.400000000000006</v>
      </c>
      <c r="F121" s="2">
        <v>67.8</v>
      </c>
      <c r="G121" s="2" t="s">
        <v>26</v>
      </c>
    </row>
    <row r="122" spans="1:7">
      <c r="A122" s="2" t="s">
        <v>61</v>
      </c>
      <c r="B122" s="2" t="s">
        <v>21</v>
      </c>
      <c r="C122" s="2">
        <v>65.7</v>
      </c>
      <c r="D122" s="2">
        <v>100</v>
      </c>
      <c r="E122" s="2">
        <v>72.2</v>
      </c>
      <c r="F122" s="2">
        <v>84.7</v>
      </c>
      <c r="G122" s="2" t="s">
        <v>62</v>
      </c>
    </row>
    <row r="123" spans="1:7">
      <c r="A123" s="2" t="s">
        <v>265</v>
      </c>
      <c r="B123" s="2" t="s">
        <v>34</v>
      </c>
      <c r="C123" s="2">
        <v>93.2</v>
      </c>
      <c r="D123" s="2">
        <v>53.5</v>
      </c>
      <c r="E123" s="2">
        <v>72.2</v>
      </c>
      <c r="F123" s="2">
        <v>49.9</v>
      </c>
      <c r="G123" s="2" t="s">
        <v>22</v>
      </c>
    </row>
    <row r="124" spans="1:7">
      <c r="A124" s="2" t="s">
        <v>126</v>
      </c>
      <c r="B124" s="2" t="s">
        <v>30</v>
      </c>
      <c r="C124" s="2">
        <v>84.1</v>
      </c>
      <c r="D124" s="2">
        <v>79.599999999999994</v>
      </c>
      <c r="E124" s="2">
        <v>71.900000000000006</v>
      </c>
      <c r="F124" s="2">
        <v>83.4</v>
      </c>
      <c r="G124" s="2" t="s">
        <v>91</v>
      </c>
    </row>
    <row r="125" spans="1:7">
      <c r="A125" s="2" t="s">
        <v>258</v>
      </c>
      <c r="B125" s="2" t="s">
        <v>24</v>
      </c>
      <c r="C125" s="2">
        <v>80.400000000000006</v>
      </c>
      <c r="D125" s="2">
        <v>89.3</v>
      </c>
      <c r="E125" s="2">
        <v>71.7</v>
      </c>
      <c r="F125" s="2">
        <v>61.4</v>
      </c>
      <c r="G125" s="2" t="s">
        <v>26</v>
      </c>
    </row>
    <row r="126" spans="1:7">
      <c r="A126" s="2" t="s">
        <v>169</v>
      </c>
      <c r="B126" s="2" t="s">
        <v>30</v>
      </c>
      <c r="C126" s="2">
        <v>83.4</v>
      </c>
      <c r="D126" s="2">
        <v>81.400000000000006</v>
      </c>
      <c r="E126" s="2">
        <v>71.5</v>
      </c>
      <c r="F126" s="2">
        <v>59.3</v>
      </c>
      <c r="G126" s="2" t="s">
        <v>91</v>
      </c>
    </row>
    <row r="127" spans="1:7">
      <c r="A127" s="2" t="s">
        <v>272</v>
      </c>
      <c r="B127" s="2" t="s">
        <v>46</v>
      </c>
      <c r="C127" s="2">
        <v>76</v>
      </c>
      <c r="D127" s="2">
        <v>69.400000000000006</v>
      </c>
      <c r="E127" s="2">
        <v>71.5</v>
      </c>
      <c r="F127" s="2">
        <v>49.2</v>
      </c>
      <c r="G127" s="2" t="s">
        <v>26</v>
      </c>
    </row>
    <row r="128" spans="1:7">
      <c r="A128" s="2" t="s">
        <v>123</v>
      </c>
      <c r="B128" s="2" t="s">
        <v>24</v>
      </c>
      <c r="C128" s="2">
        <v>87.1</v>
      </c>
      <c r="D128" s="2">
        <v>77.400000000000006</v>
      </c>
      <c r="E128" s="2">
        <v>71.3</v>
      </c>
      <c r="F128" s="2">
        <v>42.3</v>
      </c>
      <c r="G128" s="2" t="s">
        <v>26</v>
      </c>
    </row>
    <row r="129" spans="1:7">
      <c r="A129" s="2" t="s">
        <v>317</v>
      </c>
      <c r="B129" s="2" t="s">
        <v>28</v>
      </c>
      <c r="C129" s="2">
        <v>79.099999999999994</v>
      </c>
      <c r="D129" s="2">
        <v>55.9</v>
      </c>
      <c r="E129" s="2">
        <v>71.3</v>
      </c>
      <c r="F129" s="2">
        <v>85.2</v>
      </c>
      <c r="G129" s="2" t="s">
        <v>26</v>
      </c>
    </row>
    <row r="130" spans="1:7">
      <c r="A130" s="2" t="s">
        <v>290</v>
      </c>
      <c r="B130" s="2" t="s">
        <v>21</v>
      </c>
      <c r="C130" s="2">
        <v>77.2</v>
      </c>
      <c r="D130" s="2">
        <v>51.1</v>
      </c>
      <c r="E130" s="2">
        <v>71.3</v>
      </c>
      <c r="F130" s="2">
        <v>83.6</v>
      </c>
      <c r="G130" s="2" t="s">
        <v>26</v>
      </c>
    </row>
    <row r="131" spans="1:7">
      <c r="A131" s="2" t="s">
        <v>239</v>
      </c>
      <c r="B131" s="2" t="s">
        <v>46</v>
      </c>
      <c r="C131" s="2">
        <v>93.4</v>
      </c>
      <c r="D131" s="2">
        <v>58.3</v>
      </c>
      <c r="E131" s="2">
        <v>71.2</v>
      </c>
      <c r="F131" s="2">
        <v>52.5</v>
      </c>
      <c r="G131" s="2" t="s">
        <v>26</v>
      </c>
    </row>
    <row r="132" spans="1:7">
      <c r="A132" s="2" t="s">
        <v>27</v>
      </c>
      <c r="B132" s="2" t="s">
        <v>28</v>
      </c>
      <c r="C132" s="2">
        <v>86.7</v>
      </c>
      <c r="D132" s="2">
        <v>72.400000000000006</v>
      </c>
      <c r="E132" s="2">
        <v>71</v>
      </c>
      <c r="F132" s="2">
        <v>85.8</v>
      </c>
      <c r="G132" s="2" t="s">
        <v>26</v>
      </c>
    </row>
    <row r="133" spans="1:7">
      <c r="A133" s="2" t="s">
        <v>151</v>
      </c>
      <c r="B133" s="2" t="s">
        <v>30</v>
      </c>
      <c r="C133" s="2">
        <v>69.400000000000006</v>
      </c>
      <c r="D133" s="2">
        <v>38.5</v>
      </c>
      <c r="E133" s="2">
        <v>70.8</v>
      </c>
      <c r="F133" s="2">
        <v>74.7</v>
      </c>
      <c r="G133" s="2" t="s">
        <v>22</v>
      </c>
    </row>
    <row r="134" spans="1:7">
      <c r="A134" s="2" t="s">
        <v>271</v>
      </c>
      <c r="B134" s="2" t="s">
        <v>24</v>
      </c>
      <c r="C134" s="2">
        <v>82.5</v>
      </c>
      <c r="D134" s="2">
        <v>87.7</v>
      </c>
      <c r="E134" s="2">
        <v>70.599999999999994</v>
      </c>
      <c r="F134" s="2">
        <v>71.543880000000001</v>
      </c>
      <c r="G134" s="2" t="s">
        <v>26</v>
      </c>
    </row>
    <row r="135" spans="1:7">
      <c r="A135" s="2" t="s">
        <v>266</v>
      </c>
      <c r="B135" s="2" t="s">
        <v>34</v>
      </c>
      <c r="C135" s="2">
        <v>96.2</v>
      </c>
      <c r="D135" s="2">
        <v>64.2</v>
      </c>
      <c r="E135" s="2">
        <v>70.5</v>
      </c>
      <c r="F135" s="2">
        <v>56</v>
      </c>
      <c r="G135" s="2" t="s">
        <v>26</v>
      </c>
    </row>
    <row r="136" spans="1:7">
      <c r="A136" s="2" t="s">
        <v>316</v>
      </c>
      <c r="B136" s="2" t="s">
        <v>34</v>
      </c>
      <c r="C136" s="2">
        <v>88.7</v>
      </c>
      <c r="D136" s="2">
        <v>69.8</v>
      </c>
      <c r="E136" s="2">
        <v>70.400000000000006</v>
      </c>
      <c r="F136" s="2">
        <v>63.1</v>
      </c>
      <c r="G136" s="2" t="s">
        <v>26</v>
      </c>
    </row>
    <row r="137" spans="1:7">
      <c r="A137" s="2" t="s">
        <v>88</v>
      </c>
      <c r="B137" s="2" t="s">
        <v>34</v>
      </c>
      <c r="C137" s="2">
        <v>96.5</v>
      </c>
      <c r="D137" s="2">
        <v>78.099999999999994</v>
      </c>
      <c r="E137" s="2">
        <v>70.3</v>
      </c>
      <c r="F137" s="2">
        <v>89.1</v>
      </c>
      <c r="G137" s="2" t="s">
        <v>26</v>
      </c>
    </row>
    <row r="138" spans="1:7">
      <c r="A138" s="2" t="s">
        <v>250</v>
      </c>
      <c r="B138" s="2" t="s">
        <v>30</v>
      </c>
      <c r="C138" s="2">
        <v>72.2</v>
      </c>
      <c r="D138" s="2">
        <v>71.099999999999994</v>
      </c>
      <c r="E138" s="2">
        <v>69.8</v>
      </c>
      <c r="F138" s="2">
        <v>76.5</v>
      </c>
      <c r="G138" s="2" t="s">
        <v>26</v>
      </c>
    </row>
    <row r="139" spans="1:7">
      <c r="A139" s="2" t="s">
        <v>119</v>
      </c>
      <c r="B139" s="2" t="s">
        <v>21</v>
      </c>
      <c r="C139" s="2">
        <v>57.3</v>
      </c>
      <c r="D139" s="2">
        <v>84.6</v>
      </c>
      <c r="E139" s="2">
        <v>69.7</v>
      </c>
      <c r="F139" s="2">
        <v>49.2</v>
      </c>
      <c r="G139" s="2" t="s">
        <v>22</v>
      </c>
    </row>
    <row r="140" spans="1:7">
      <c r="A140" s="2" t="s">
        <v>144</v>
      </c>
      <c r="B140" s="2" t="s">
        <v>21</v>
      </c>
      <c r="C140" s="2">
        <v>58.7</v>
      </c>
      <c r="D140" s="2">
        <v>62.5</v>
      </c>
      <c r="E140" s="2">
        <v>69.7</v>
      </c>
      <c r="F140" s="2">
        <v>80.400000000000006</v>
      </c>
      <c r="G140" s="2" t="s">
        <v>26</v>
      </c>
    </row>
    <row r="141" spans="1:7">
      <c r="A141" s="2" t="s">
        <v>161</v>
      </c>
      <c r="B141" s="2" t="s">
        <v>24</v>
      </c>
      <c r="C141" s="2">
        <v>58.7</v>
      </c>
      <c r="D141" s="2">
        <v>64.7</v>
      </c>
      <c r="E141" s="2">
        <v>69.5</v>
      </c>
      <c r="F141" s="2">
        <v>69.3</v>
      </c>
      <c r="G141" s="2" t="s">
        <v>26</v>
      </c>
    </row>
    <row r="142" spans="1:7">
      <c r="A142" s="2" t="s">
        <v>314</v>
      </c>
      <c r="B142" s="2" t="s">
        <v>91</v>
      </c>
      <c r="C142" s="2">
        <v>61.9</v>
      </c>
      <c r="D142" s="2">
        <v>78.400000000000006</v>
      </c>
      <c r="E142" s="2">
        <v>69</v>
      </c>
      <c r="F142" s="2">
        <v>90.6</v>
      </c>
      <c r="G142" s="2" t="s">
        <v>22</v>
      </c>
    </row>
    <row r="143" spans="1:7">
      <c r="A143" s="2" t="s">
        <v>109</v>
      </c>
      <c r="B143" s="2" t="s">
        <v>28</v>
      </c>
      <c r="C143" s="2">
        <v>90.5</v>
      </c>
      <c r="D143" s="2">
        <v>69.8</v>
      </c>
      <c r="E143" s="2">
        <v>68.3</v>
      </c>
      <c r="F143" s="2">
        <v>71.2</v>
      </c>
      <c r="G143" s="2" t="s">
        <v>26</v>
      </c>
    </row>
    <row r="144" spans="1:7">
      <c r="A144" s="2" t="s">
        <v>48</v>
      </c>
      <c r="B144" s="2" t="s">
        <v>46</v>
      </c>
      <c r="C144" s="2">
        <v>58.7</v>
      </c>
      <c r="D144" s="2">
        <v>91</v>
      </c>
      <c r="E144" s="2">
        <v>68</v>
      </c>
      <c r="F144" s="2">
        <v>69.099999999999994</v>
      </c>
      <c r="G144" s="2" t="s">
        <v>26</v>
      </c>
    </row>
    <row r="145" spans="1:7">
      <c r="A145" s="2" t="s">
        <v>237</v>
      </c>
      <c r="B145" s="2" t="s">
        <v>21</v>
      </c>
      <c r="C145" s="2">
        <v>75.599999999999994</v>
      </c>
      <c r="D145" s="2">
        <v>37.200000000000003</v>
      </c>
      <c r="E145" s="2">
        <v>68</v>
      </c>
      <c r="F145" s="2">
        <v>71.543880000000001</v>
      </c>
      <c r="G145" s="2" t="s">
        <v>22</v>
      </c>
    </row>
    <row r="146" spans="1:7">
      <c r="A146" s="2" t="s">
        <v>90</v>
      </c>
      <c r="B146" s="2" t="s">
        <v>24</v>
      </c>
      <c r="C146" s="2">
        <v>76.599999999999994</v>
      </c>
      <c r="D146" s="2">
        <v>45.1</v>
      </c>
      <c r="E146" s="2">
        <v>67.900000000000006</v>
      </c>
      <c r="F146" s="2">
        <v>50.7</v>
      </c>
      <c r="G146" s="2" t="s">
        <v>22</v>
      </c>
    </row>
    <row r="147" spans="1:7">
      <c r="A147" s="2" t="s">
        <v>234</v>
      </c>
      <c r="B147" s="2" t="s">
        <v>34</v>
      </c>
      <c r="C147" s="2">
        <v>90.5</v>
      </c>
      <c r="D147" s="2">
        <v>82.5</v>
      </c>
      <c r="E147" s="2">
        <v>67.599999999999994</v>
      </c>
      <c r="F147" s="2">
        <v>84.2</v>
      </c>
      <c r="G147" s="2" t="s">
        <v>26</v>
      </c>
    </row>
    <row r="148" spans="1:7">
      <c r="A148" s="2" t="s">
        <v>222</v>
      </c>
      <c r="B148" s="2" t="s">
        <v>21</v>
      </c>
      <c r="C148" s="2">
        <v>80</v>
      </c>
      <c r="D148" s="2">
        <v>69.8</v>
      </c>
      <c r="E148" s="2">
        <v>67.3</v>
      </c>
      <c r="F148" s="2">
        <v>64.599999999999994</v>
      </c>
      <c r="G148" s="2" t="s">
        <v>26</v>
      </c>
    </row>
    <row r="149" spans="1:7">
      <c r="A149" s="2" t="s">
        <v>122</v>
      </c>
      <c r="B149" s="2" t="s">
        <v>39</v>
      </c>
      <c r="C149" s="2">
        <v>58.7</v>
      </c>
      <c r="D149" s="2">
        <v>58.7</v>
      </c>
      <c r="E149" s="2">
        <v>67.2</v>
      </c>
      <c r="F149" s="2">
        <v>76.5</v>
      </c>
      <c r="G149" s="2" t="s">
        <v>26</v>
      </c>
    </row>
    <row r="150" spans="1:7">
      <c r="A150" s="2" t="s">
        <v>309</v>
      </c>
      <c r="B150" s="2" t="s">
        <v>28</v>
      </c>
      <c r="C150" s="2">
        <v>58.5</v>
      </c>
      <c r="D150" s="2">
        <v>88</v>
      </c>
      <c r="E150" s="2">
        <v>67.099999999999994</v>
      </c>
      <c r="F150" s="2">
        <v>54.1</v>
      </c>
      <c r="G150" s="2" t="s">
        <v>91</v>
      </c>
    </row>
    <row r="151" spans="1:7">
      <c r="A151" s="2" t="s">
        <v>64</v>
      </c>
      <c r="B151" s="2" t="s">
        <v>30</v>
      </c>
      <c r="C151" s="2">
        <v>95</v>
      </c>
      <c r="D151" s="2">
        <v>95.2</v>
      </c>
      <c r="E151" s="2">
        <v>67</v>
      </c>
      <c r="F151" s="2">
        <v>80.099999999999994</v>
      </c>
      <c r="G151" s="2" t="s">
        <v>26</v>
      </c>
    </row>
    <row r="152" spans="1:7">
      <c r="A152" s="2" t="s">
        <v>304</v>
      </c>
      <c r="B152" s="2" t="s">
        <v>24</v>
      </c>
      <c r="C152" s="2">
        <v>79.8</v>
      </c>
      <c r="D152" s="2">
        <v>42.7</v>
      </c>
      <c r="E152" s="2">
        <v>66.5</v>
      </c>
      <c r="F152" s="2">
        <v>75.2</v>
      </c>
      <c r="G152" s="2" t="s">
        <v>39</v>
      </c>
    </row>
    <row r="153" spans="1:7">
      <c r="A153" s="2" t="s">
        <v>213</v>
      </c>
      <c r="B153" s="2" t="s">
        <v>34</v>
      </c>
      <c r="C153" s="2">
        <v>85.1</v>
      </c>
      <c r="D153" s="2">
        <v>67.5</v>
      </c>
      <c r="E153" s="2">
        <v>66.3</v>
      </c>
      <c r="F153" s="2">
        <v>64.099999999999994</v>
      </c>
      <c r="G153" s="2" t="s">
        <v>26</v>
      </c>
    </row>
    <row r="154" spans="1:7">
      <c r="A154" s="2" t="s">
        <v>200</v>
      </c>
      <c r="B154" s="2" t="s">
        <v>21</v>
      </c>
      <c r="C154" s="2">
        <v>85</v>
      </c>
      <c r="D154" s="2">
        <v>47.5</v>
      </c>
      <c r="E154" s="2">
        <v>66.2</v>
      </c>
      <c r="F154" s="2">
        <v>98</v>
      </c>
      <c r="G154" s="2" t="s">
        <v>26</v>
      </c>
    </row>
    <row r="155" spans="1:7">
      <c r="A155" s="2" t="s">
        <v>43</v>
      </c>
      <c r="B155" s="2" t="s">
        <v>24</v>
      </c>
      <c r="C155" s="2">
        <v>73.099999999999994</v>
      </c>
      <c r="D155" s="2">
        <v>58.5</v>
      </c>
      <c r="E155" s="2">
        <v>66.099999999999994</v>
      </c>
      <c r="F155" s="2">
        <v>69.7</v>
      </c>
      <c r="G155" s="2" t="s">
        <v>26</v>
      </c>
    </row>
    <row r="156" spans="1:7">
      <c r="A156" s="2" t="s">
        <v>317</v>
      </c>
      <c r="B156" s="2" t="s">
        <v>30</v>
      </c>
      <c r="C156" s="2">
        <v>69.2</v>
      </c>
      <c r="D156" s="2">
        <v>64.3</v>
      </c>
      <c r="E156" s="2">
        <v>66.099999999999994</v>
      </c>
      <c r="F156" s="2">
        <v>93.6</v>
      </c>
      <c r="G156" s="2" t="s">
        <v>22</v>
      </c>
    </row>
    <row r="157" spans="1:7">
      <c r="A157" s="2" t="s">
        <v>215</v>
      </c>
      <c r="B157" s="2" t="s">
        <v>34</v>
      </c>
      <c r="C157" s="2">
        <v>71.7</v>
      </c>
      <c r="D157" s="2">
        <v>83.4</v>
      </c>
      <c r="E157" s="2">
        <v>66.099999999999994</v>
      </c>
      <c r="F157" s="2">
        <v>89.8</v>
      </c>
      <c r="G157" s="2" t="s">
        <v>26</v>
      </c>
    </row>
    <row r="158" spans="1:7">
      <c r="A158" s="2" t="s">
        <v>230</v>
      </c>
      <c r="B158" s="2" t="s">
        <v>34</v>
      </c>
      <c r="C158" s="2">
        <v>82.7</v>
      </c>
      <c r="D158" s="2">
        <v>88</v>
      </c>
      <c r="E158" s="2">
        <v>66.099999999999994</v>
      </c>
      <c r="F158" s="2">
        <v>89.9</v>
      </c>
      <c r="G158" s="2" t="s">
        <v>26</v>
      </c>
    </row>
    <row r="159" spans="1:7">
      <c r="A159" s="2" t="s">
        <v>76</v>
      </c>
      <c r="B159" s="2" t="s">
        <v>30</v>
      </c>
      <c r="C159" s="2">
        <v>97.1</v>
      </c>
      <c r="D159" s="2">
        <v>78</v>
      </c>
      <c r="E159" s="2">
        <v>66</v>
      </c>
      <c r="F159" s="2">
        <v>66.099999999999994</v>
      </c>
      <c r="G159" s="2" t="s">
        <v>26</v>
      </c>
    </row>
    <row r="160" spans="1:7">
      <c r="A160" s="2" t="s">
        <v>192</v>
      </c>
      <c r="B160" s="2" t="s">
        <v>21</v>
      </c>
      <c r="C160" s="2">
        <v>100</v>
      </c>
      <c r="D160" s="2">
        <v>75.7</v>
      </c>
      <c r="E160" s="2">
        <v>66</v>
      </c>
      <c r="F160" s="2">
        <v>75.2</v>
      </c>
      <c r="G160" s="2" t="s">
        <v>26</v>
      </c>
    </row>
    <row r="161" spans="1:7">
      <c r="A161" s="2" t="s">
        <v>97</v>
      </c>
      <c r="B161" s="2" t="s">
        <v>28</v>
      </c>
      <c r="C161" s="2">
        <v>86.4</v>
      </c>
      <c r="D161" s="2">
        <v>53.2</v>
      </c>
      <c r="E161" s="2">
        <v>65.900000000000006</v>
      </c>
      <c r="F161" s="2">
        <v>92.9</v>
      </c>
      <c r="G161" s="2" t="s">
        <v>26</v>
      </c>
    </row>
    <row r="162" spans="1:7">
      <c r="A162" s="2" t="s">
        <v>101</v>
      </c>
      <c r="B162" s="2" t="s">
        <v>46</v>
      </c>
      <c r="C162" s="2">
        <v>91.1</v>
      </c>
      <c r="D162" s="2">
        <v>74.8</v>
      </c>
      <c r="E162" s="2">
        <v>65.8</v>
      </c>
      <c r="F162" s="2">
        <v>63.1</v>
      </c>
      <c r="G162" s="2" t="s">
        <v>26</v>
      </c>
    </row>
    <row r="163" spans="1:7">
      <c r="A163" s="2" t="s">
        <v>112</v>
      </c>
      <c r="B163" s="2" t="s">
        <v>30</v>
      </c>
      <c r="C163" s="2">
        <v>72.8</v>
      </c>
      <c r="D163" s="2">
        <v>81.3</v>
      </c>
      <c r="E163" s="2">
        <v>65.8</v>
      </c>
      <c r="F163" s="2">
        <v>31.9</v>
      </c>
      <c r="G163" s="2" t="s">
        <v>22</v>
      </c>
    </row>
    <row r="164" spans="1:7">
      <c r="A164" s="2" t="s">
        <v>236</v>
      </c>
      <c r="B164" s="2" t="s">
        <v>28</v>
      </c>
      <c r="C164" s="2">
        <v>81.599999999999994</v>
      </c>
      <c r="D164" s="2">
        <v>74</v>
      </c>
      <c r="E164" s="2">
        <v>65.5</v>
      </c>
      <c r="F164" s="2">
        <v>62.2</v>
      </c>
      <c r="G164" s="2" t="s">
        <v>26</v>
      </c>
    </row>
    <row r="165" spans="1:7">
      <c r="A165" s="2" t="s">
        <v>153</v>
      </c>
      <c r="B165" s="2" t="s">
        <v>34</v>
      </c>
      <c r="C165" s="2">
        <v>96.8</v>
      </c>
      <c r="D165" s="2">
        <v>74.2</v>
      </c>
      <c r="E165" s="2">
        <v>65.400000000000006</v>
      </c>
      <c r="F165" s="2">
        <v>54.4</v>
      </c>
      <c r="G165" s="2" t="s">
        <v>26</v>
      </c>
    </row>
    <row r="166" spans="1:7">
      <c r="A166" s="2" t="s">
        <v>94</v>
      </c>
      <c r="B166" s="2" t="s">
        <v>46</v>
      </c>
      <c r="C166" s="2">
        <v>76</v>
      </c>
      <c r="D166" s="2">
        <v>82.2</v>
      </c>
      <c r="E166" s="2">
        <v>65.2</v>
      </c>
      <c r="F166" s="2">
        <v>75.2</v>
      </c>
      <c r="G166" s="2" t="s">
        <v>26</v>
      </c>
    </row>
    <row r="167" spans="1:7">
      <c r="A167" s="2" t="s">
        <v>113</v>
      </c>
      <c r="B167" s="2" t="s">
        <v>24</v>
      </c>
      <c r="C167" s="2">
        <v>90.8</v>
      </c>
      <c r="D167" s="2">
        <v>72.7</v>
      </c>
      <c r="E167" s="2">
        <v>65.099999999999994</v>
      </c>
      <c r="F167" s="2">
        <v>99</v>
      </c>
      <c r="G167" s="2" t="s">
        <v>26</v>
      </c>
    </row>
    <row r="168" spans="1:7">
      <c r="A168" s="2" t="s">
        <v>195</v>
      </c>
      <c r="B168" s="2" t="s">
        <v>46</v>
      </c>
      <c r="C168" s="2">
        <v>79.099999999999994</v>
      </c>
      <c r="D168" s="2">
        <v>39</v>
      </c>
      <c r="E168" s="2">
        <v>65</v>
      </c>
      <c r="F168" s="2">
        <v>71.2</v>
      </c>
      <c r="G168" s="2" t="s">
        <v>22</v>
      </c>
    </row>
    <row r="169" spans="1:7">
      <c r="A169" s="2" t="s">
        <v>162</v>
      </c>
      <c r="B169" s="2" t="s">
        <v>24</v>
      </c>
      <c r="C169" s="2">
        <v>97.2</v>
      </c>
      <c r="D169" s="2">
        <v>91.4</v>
      </c>
      <c r="E169" s="2">
        <v>64.7</v>
      </c>
      <c r="F169" s="2">
        <v>60</v>
      </c>
      <c r="G169" s="2" t="s">
        <v>26</v>
      </c>
    </row>
    <row r="170" spans="1:7">
      <c r="A170" s="2" t="s">
        <v>216</v>
      </c>
      <c r="B170" s="2" t="s">
        <v>91</v>
      </c>
      <c r="C170" s="2">
        <v>76.2</v>
      </c>
      <c r="D170" s="2">
        <v>-10</v>
      </c>
      <c r="E170" s="2">
        <v>64.5</v>
      </c>
      <c r="F170" s="2">
        <v>62.7</v>
      </c>
      <c r="G170" s="2" t="s">
        <v>22</v>
      </c>
    </row>
    <row r="171" spans="1:7">
      <c r="A171" s="2" t="s">
        <v>190</v>
      </c>
      <c r="B171" s="2" t="s">
        <v>21</v>
      </c>
      <c r="C171" s="2">
        <v>57</v>
      </c>
      <c r="D171" s="2">
        <v>86</v>
      </c>
      <c r="E171" s="2">
        <v>64.400000000000006</v>
      </c>
      <c r="F171" s="2">
        <v>75.599999999999994</v>
      </c>
      <c r="G171" s="2" t="s">
        <v>22</v>
      </c>
    </row>
    <row r="172" spans="1:7">
      <c r="A172" s="2" t="s">
        <v>159</v>
      </c>
      <c r="B172" s="2" t="s">
        <v>21</v>
      </c>
      <c r="C172" s="2">
        <v>41.3</v>
      </c>
      <c r="D172" s="2">
        <v>80</v>
      </c>
      <c r="E172" s="2">
        <v>64.099999999999994</v>
      </c>
      <c r="F172" s="2">
        <v>68.5</v>
      </c>
      <c r="G172" s="2" t="s">
        <v>22</v>
      </c>
    </row>
    <row r="173" spans="1:7">
      <c r="A173" s="2" t="s">
        <v>184</v>
      </c>
      <c r="B173" s="2" t="s">
        <v>21</v>
      </c>
      <c r="C173" s="2">
        <v>90</v>
      </c>
      <c r="D173" s="2">
        <v>74.7</v>
      </c>
      <c r="E173" s="2">
        <v>64.099999999999994</v>
      </c>
      <c r="F173" s="2">
        <v>87.7</v>
      </c>
      <c r="G173" s="2" t="s">
        <v>26</v>
      </c>
    </row>
    <row r="174" spans="1:7">
      <c r="A174" s="2" t="s">
        <v>29</v>
      </c>
      <c r="B174" s="2" t="s">
        <v>30</v>
      </c>
      <c r="C174" s="2">
        <v>87.6</v>
      </c>
      <c r="D174" s="2">
        <v>91.8</v>
      </c>
      <c r="E174" s="2">
        <v>64</v>
      </c>
      <c r="F174" s="2">
        <v>84.7</v>
      </c>
      <c r="G174" s="2" t="s">
        <v>26</v>
      </c>
    </row>
    <row r="175" spans="1:7">
      <c r="A175" s="2" t="s">
        <v>292</v>
      </c>
      <c r="B175" s="2" t="s">
        <v>24</v>
      </c>
      <c r="C175" s="2">
        <v>74.3</v>
      </c>
      <c r="D175" s="2">
        <v>81.900000000000006</v>
      </c>
      <c r="E175" s="2">
        <v>63.7</v>
      </c>
      <c r="F175" s="2">
        <v>34.4</v>
      </c>
      <c r="G175" s="2" t="s">
        <v>26</v>
      </c>
    </row>
    <row r="176" spans="1:7">
      <c r="A176" s="2" t="s">
        <v>300</v>
      </c>
      <c r="B176" s="2" t="s">
        <v>34</v>
      </c>
      <c r="C176" s="2">
        <v>82.6</v>
      </c>
      <c r="D176" s="2">
        <v>68</v>
      </c>
      <c r="E176" s="2">
        <v>63.6</v>
      </c>
      <c r="F176" s="2">
        <v>58.9</v>
      </c>
      <c r="G176" s="2" t="s">
        <v>26</v>
      </c>
    </row>
    <row r="177" spans="1:7">
      <c r="A177" s="2" t="s">
        <v>187</v>
      </c>
      <c r="B177" s="2" t="s">
        <v>30</v>
      </c>
      <c r="C177" s="2">
        <v>74</v>
      </c>
      <c r="D177" s="2">
        <v>60.3</v>
      </c>
      <c r="E177" s="2">
        <v>63.5</v>
      </c>
      <c r="F177" s="2">
        <v>71</v>
      </c>
      <c r="G177" s="2" t="s">
        <v>26</v>
      </c>
    </row>
    <row r="178" spans="1:7">
      <c r="A178" s="2" t="s">
        <v>242</v>
      </c>
      <c r="B178" s="2" t="s">
        <v>91</v>
      </c>
      <c r="C178" s="2">
        <v>100</v>
      </c>
      <c r="D178" s="2">
        <v>77.099999999999994</v>
      </c>
      <c r="E178" s="2">
        <v>63.3</v>
      </c>
      <c r="F178" s="2">
        <v>79</v>
      </c>
      <c r="G178" s="2" t="s">
        <v>26</v>
      </c>
    </row>
    <row r="179" spans="1:7">
      <c r="A179" s="2" t="s">
        <v>124</v>
      </c>
      <c r="B179" s="2" t="s">
        <v>34</v>
      </c>
      <c r="C179" s="2">
        <v>88.4</v>
      </c>
      <c r="D179" s="2">
        <v>41</v>
      </c>
      <c r="E179" s="2">
        <v>63</v>
      </c>
      <c r="F179" s="2">
        <v>60.2</v>
      </c>
      <c r="G179" s="2" t="s">
        <v>22</v>
      </c>
    </row>
    <row r="180" spans="1:7">
      <c r="A180" s="2" t="s">
        <v>247</v>
      </c>
      <c r="B180" s="2" t="s">
        <v>24</v>
      </c>
      <c r="C180" s="2">
        <v>99.5</v>
      </c>
      <c r="D180" s="2">
        <v>92.7</v>
      </c>
      <c r="E180" s="2">
        <v>62.7</v>
      </c>
      <c r="F180" s="2">
        <v>81.400000000000006</v>
      </c>
      <c r="G180" s="2" t="s">
        <v>26</v>
      </c>
    </row>
    <row r="181" spans="1:7">
      <c r="A181" s="2" t="s">
        <v>110</v>
      </c>
      <c r="B181" s="2" t="s">
        <v>111</v>
      </c>
      <c r="C181" s="2">
        <v>88</v>
      </c>
      <c r="D181" s="2">
        <v>94.1</v>
      </c>
      <c r="E181" s="2">
        <v>62.6</v>
      </c>
      <c r="F181" s="2">
        <v>46.8</v>
      </c>
      <c r="G181" s="2" t="s">
        <v>26</v>
      </c>
    </row>
    <row r="182" spans="1:7">
      <c r="A182" s="2" t="s">
        <v>263</v>
      </c>
      <c r="B182" s="2" t="s">
        <v>34</v>
      </c>
      <c r="C182" s="2">
        <v>69.599999999999994</v>
      </c>
      <c r="D182" s="2">
        <v>69.099999999999994</v>
      </c>
      <c r="E182" s="2">
        <v>62.5</v>
      </c>
      <c r="F182" s="2">
        <v>76.099999999999994</v>
      </c>
      <c r="G182" s="2" t="s">
        <v>22</v>
      </c>
    </row>
    <row r="183" spans="1:7">
      <c r="A183" s="2" t="s">
        <v>127</v>
      </c>
      <c r="B183" s="2" t="s">
        <v>24</v>
      </c>
      <c r="C183" s="2">
        <v>70.900000000000006</v>
      </c>
      <c r="D183" s="2">
        <v>76.099999999999994</v>
      </c>
      <c r="E183" s="2">
        <v>62.4</v>
      </c>
      <c r="F183" s="2">
        <v>92.1</v>
      </c>
      <c r="G183" s="2" t="s">
        <v>26</v>
      </c>
    </row>
    <row r="184" spans="1:7">
      <c r="A184" s="2" t="s">
        <v>165</v>
      </c>
      <c r="B184" s="2" t="s">
        <v>91</v>
      </c>
      <c r="C184" s="2">
        <v>92.2</v>
      </c>
      <c r="D184" s="2">
        <v>79.7</v>
      </c>
      <c r="E184" s="2">
        <v>62</v>
      </c>
      <c r="F184" s="2">
        <v>60.3</v>
      </c>
      <c r="G184" s="2" t="s">
        <v>26</v>
      </c>
    </row>
    <row r="185" spans="1:7">
      <c r="A185" s="2" t="s">
        <v>249</v>
      </c>
      <c r="B185" s="2" t="s">
        <v>30</v>
      </c>
      <c r="C185" s="2">
        <v>77.7</v>
      </c>
      <c r="D185" s="2">
        <v>69.8</v>
      </c>
      <c r="E185" s="2">
        <v>61.9</v>
      </c>
      <c r="F185" s="2">
        <v>70.7</v>
      </c>
      <c r="G185" s="2" t="s">
        <v>26</v>
      </c>
    </row>
    <row r="186" spans="1:7">
      <c r="A186" s="2" t="s">
        <v>228</v>
      </c>
      <c r="B186" s="2" t="s">
        <v>21</v>
      </c>
      <c r="C186" s="2">
        <v>93.7</v>
      </c>
      <c r="D186" s="2">
        <v>74.099999999999994</v>
      </c>
      <c r="E186" s="2">
        <v>61.7</v>
      </c>
      <c r="F186" s="2">
        <v>65</v>
      </c>
      <c r="G186" s="2" t="s">
        <v>26</v>
      </c>
    </row>
    <row r="187" spans="1:7">
      <c r="A187" s="2" t="s">
        <v>298</v>
      </c>
      <c r="B187" s="2" t="s">
        <v>21</v>
      </c>
      <c r="C187" s="2">
        <v>69.900000000000006</v>
      </c>
      <c r="D187" s="2">
        <v>80.599999999999994</v>
      </c>
      <c r="E187" s="2">
        <v>61.3</v>
      </c>
      <c r="F187" s="2">
        <v>97.7</v>
      </c>
      <c r="G187" s="2" t="s">
        <v>91</v>
      </c>
    </row>
    <row r="188" spans="1:7">
      <c r="A188" s="2" t="s">
        <v>96</v>
      </c>
      <c r="B188" s="2" t="s">
        <v>28</v>
      </c>
      <c r="C188" s="2">
        <v>80.7</v>
      </c>
      <c r="D188" s="2">
        <v>99.4</v>
      </c>
      <c r="E188" s="2">
        <v>61.2</v>
      </c>
      <c r="F188" s="2">
        <v>58.2</v>
      </c>
      <c r="G188" s="2" t="s">
        <v>26</v>
      </c>
    </row>
    <row r="189" spans="1:7">
      <c r="A189" s="2" t="s">
        <v>278</v>
      </c>
      <c r="B189" s="2" t="s">
        <v>28</v>
      </c>
      <c r="C189" s="2">
        <v>58.7</v>
      </c>
      <c r="D189" s="2">
        <v>60.2</v>
      </c>
      <c r="E189" s="2">
        <v>61.2</v>
      </c>
      <c r="F189" s="2">
        <v>46.5</v>
      </c>
      <c r="G189" s="2" t="s">
        <v>22</v>
      </c>
    </row>
    <row r="190" spans="1:7">
      <c r="A190" s="2" t="s">
        <v>98</v>
      </c>
      <c r="B190" s="2" t="s">
        <v>28</v>
      </c>
      <c r="C190" s="2">
        <v>63.9</v>
      </c>
      <c r="D190" s="2">
        <v>100</v>
      </c>
      <c r="E190" s="2">
        <v>61.1</v>
      </c>
      <c r="F190" s="2">
        <v>65.599999999999994</v>
      </c>
      <c r="G190" s="2" t="s">
        <v>22</v>
      </c>
    </row>
    <row r="191" spans="1:7">
      <c r="A191" s="2" t="s">
        <v>81</v>
      </c>
      <c r="B191" s="2" t="s">
        <v>34</v>
      </c>
      <c r="C191" s="2">
        <v>94.1</v>
      </c>
      <c r="D191" s="2">
        <v>86.7</v>
      </c>
      <c r="E191" s="2">
        <v>61</v>
      </c>
      <c r="F191" s="2">
        <v>38.700000000000003</v>
      </c>
      <c r="G191" s="2" t="s">
        <v>26</v>
      </c>
    </row>
    <row r="192" spans="1:7">
      <c r="A192" s="2" t="s">
        <v>253</v>
      </c>
      <c r="B192" s="2" t="s">
        <v>91</v>
      </c>
      <c r="C192" s="2">
        <v>82.5</v>
      </c>
      <c r="D192" s="2">
        <v>69.099999999999994</v>
      </c>
      <c r="E192" s="2">
        <v>61</v>
      </c>
      <c r="F192" s="2">
        <v>55.4</v>
      </c>
      <c r="G192" s="2" t="s">
        <v>26</v>
      </c>
    </row>
    <row r="193" spans="1:7">
      <c r="A193" s="2" t="s">
        <v>235</v>
      </c>
      <c r="B193" s="2" t="s">
        <v>21</v>
      </c>
      <c r="C193" s="2">
        <v>86.6</v>
      </c>
      <c r="D193" s="2">
        <v>59.5</v>
      </c>
      <c r="E193" s="2">
        <v>60.9</v>
      </c>
      <c r="F193" s="2">
        <v>49.8</v>
      </c>
      <c r="G193" s="2" t="s">
        <v>22</v>
      </c>
    </row>
    <row r="194" spans="1:7">
      <c r="A194" s="2" t="s">
        <v>89</v>
      </c>
      <c r="B194" s="2" t="s">
        <v>21</v>
      </c>
      <c r="C194" s="2">
        <v>82.7</v>
      </c>
      <c r="D194" s="2">
        <v>63.9</v>
      </c>
      <c r="E194" s="2">
        <v>60.4</v>
      </c>
      <c r="F194" s="2">
        <v>87.6</v>
      </c>
      <c r="G194" s="2" t="s">
        <v>26</v>
      </c>
    </row>
    <row r="195" spans="1:7">
      <c r="A195" s="2" t="s">
        <v>199</v>
      </c>
      <c r="B195" s="2" t="s">
        <v>30</v>
      </c>
      <c r="C195" s="2">
        <v>57.2</v>
      </c>
      <c r="D195" s="2">
        <v>69.8</v>
      </c>
      <c r="E195" s="2">
        <v>60.4</v>
      </c>
      <c r="F195" s="2">
        <v>93</v>
      </c>
      <c r="G195" s="2" t="s">
        <v>22</v>
      </c>
    </row>
    <row r="196" spans="1:7">
      <c r="A196" s="2" t="s">
        <v>291</v>
      </c>
      <c r="B196" s="2" t="s">
        <v>21</v>
      </c>
      <c r="C196" s="2">
        <v>81.599999999999994</v>
      </c>
      <c r="D196" s="2">
        <v>52.8</v>
      </c>
      <c r="E196" s="2">
        <v>60.2</v>
      </c>
      <c r="F196" s="2">
        <v>93</v>
      </c>
      <c r="G196" s="2" t="s">
        <v>26</v>
      </c>
    </row>
    <row r="197" spans="1:7">
      <c r="A197" s="2" t="s">
        <v>73</v>
      </c>
      <c r="B197" s="2" t="s">
        <v>91</v>
      </c>
      <c r="C197" s="2">
        <v>100</v>
      </c>
      <c r="D197" s="2">
        <v>50.8</v>
      </c>
      <c r="E197" s="2">
        <v>59.7</v>
      </c>
      <c r="F197" s="2">
        <v>78.599999999999994</v>
      </c>
      <c r="G197" s="2" t="s">
        <v>74</v>
      </c>
    </row>
    <row r="198" spans="1:7">
      <c r="A198" s="2" t="s">
        <v>141</v>
      </c>
      <c r="B198" s="2" t="s">
        <v>28</v>
      </c>
      <c r="C198" s="2">
        <v>98.3</v>
      </c>
      <c r="D198" s="2">
        <v>92.3</v>
      </c>
      <c r="E198" s="2">
        <v>59.5</v>
      </c>
      <c r="F198" s="2">
        <v>69.8</v>
      </c>
      <c r="G198" s="2" t="s">
        <v>26</v>
      </c>
    </row>
    <row r="199" spans="1:7">
      <c r="A199" s="2" t="s">
        <v>65</v>
      </c>
      <c r="B199" s="2" t="s">
        <v>46</v>
      </c>
      <c r="C199" s="2">
        <v>68.900000000000006</v>
      </c>
      <c r="D199" s="2">
        <v>86</v>
      </c>
      <c r="E199" s="2">
        <v>59.3</v>
      </c>
      <c r="F199" s="2">
        <v>52.2</v>
      </c>
      <c r="G199" s="2" t="s">
        <v>22</v>
      </c>
    </row>
    <row r="200" spans="1:7">
      <c r="A200" s="2" t="s">
        <v>166</v>
      </c>
      <c r="B200" s="2" t="s">
        <v>28</v>
      </c>
      <c r="C200" s="2">
        <v>86</v>
      </c>
      <c r="D200" s="2">
        <v>57.7</v>
      </c>
      <c r="E200" s="2">
        <v>59.3</v>
      </c>
      <c r="F200" s="2">
        <v>87.8</v>
      </c>
      <c r="G200" s="2" t="s">
        <v>26</v>
      </c>
    </row>
    <row r="201" spans="1:7">
      <c r="A201" s="2" t="s">
        <v>118</v>
      </c>
      <c r="B201" s="2" t="s">
        <v>24</v>
      </c>
      <c r="C201" s="2">
        <v>65.400000000000006</v>
      </c>
      <c r="D201" s="2">
        <v>51.2</v>
      </c>
      <c r="E201" s="2">
        <v>59.2</v>
      </c>
      <c r="F201" s="2">
        <v>76.599999999999994</v>
      </c>
      <c r="G201" s="2" t="s">
        <v>22</v>
      </c>
    </row>
    <row r="202" spans="1:7">
      <c r="A202" s="2" t="s">
        <v>267</v>
      </c>
      <c r="B202" s="2" t="s">
        <v>24</v>
      </c>
      <c r="C202" s="2">
        <v>77.8</v>
      </c>
      <c r="D202" s="2">
        <v>69.8</v>
      </c>
      <c r="E202" s="2">
        <v>59.2</v>
      </c>
      <c r="F202" s="2">
        <v>83.6</v>
      </c>
      <c r="G202" s="2" t="s">
        <v>26</v>
      </c>
    </row>
    <row r="203" spans="1:7">
      <c r="A203" s="2" t="s">
        <v>209</v>
      </c>
      <c r="B203" s="2" t="s">
        <v>21</v>
      </c>
      <c r="C203" s="2">
        <v>55.2</v>
      </c>
      <c r="D203" s="2">
        <v>37.799999999999997</v>
      </c>
      <c r="E203" s="2">
        <v>59.1</v>
      </c>
      <c r="F203" s="2">
        <v>71.2</v>
      </c>
      <c r="G203" s="2" t="s">
        <v>22</v>
      </c>
    </row>
    <row r="204" spans="1:7">
      <c r="A204" s="2" t="s">
        <v>78</v>
      </c>
      <c r="B204" s="2" t="s">
        <v>91</v>
      </c>
      <c r="C204" s="2">
        <v>86.4</v>
      </c>
      <c r="D204" s="2">
        <v>86.8</v>
      </c>
      <c r="E204" s="2">
        <v>58.9</v>
      </c>
      <c r="F204" s="2">
        <v>56.6</v>
      </c>
      <c r="G204" s="2" t="s">
        <v>26</v>
      </c>
    </row>
    <row r="205" spans="1:7">
      <c r="A205" s="2" t="s">
        <v>183</v>
      </c>
      <c r="B205" s="2" t="s">
        <v>28</v>
      </c>
      <c r="C205" s="2">
        <v>73.400000000000006</v>
      </c>
      <c r="D205" s="2">
        <v>23.5</v>
      </c>
      <c r="E205" s="2">
        <v>58.7</v>
      </c>
      <c r="F205" s="2">
        <v>80.8</v>
      </c>
      <c r="G205" s="2" t="s">
        <v>22</v>
      </c>
    </row>
    <row r="206" spans="1:7">
      <c r="A206" s="2" t="s">
        <v>42</v>
      </c>
      <c r="B206" s="2" t="s">
        <v>30</v>
      </c>
      <c r="C206" s="2">
        <v>58.7</v>
      </c>
      <c r="D206" s="2">
        <v>88.4</v>
      </c>
      <c r="E206" s="2">
        <v>58.4</v>
      </c>
      <c r="F206" s="2">
        <v>85.8</v>
      </c>
      <c r="G206" s="2" t="s">
        <v>26</v>
      </c>
    </row>
    <row r="207" spans="1:7">
      <c r="A207" s="2" t="s">
        <v>42</v>
      </c>
      <c r="B207" s="2" t="s">
        <v>91</v>
      </c>
      <c r="C207" s="2">
        <v>85.8</v>
      </c>
      <c r="D207" s="2">
        <v>88.4</v>
      </c>
      <c r="E207" s="2">
        <v>58.4</v>
      </c>
      <c r="F207" s="2">
        <v>85.8</v>
      </c>
      <c r="G207" s="2" t="s">
        <v>26</v>
      </c>
    </row>
    <row r="208" spans="1:7">
      <c r="A208" s="2" t="s">
        <v>145</v>
      </c>
      <c r="B208" s="2" t="s">
        <v>30</v>
      </c>
      <c r="C208" s="2">
        <v>88.9</v>
      </c>
      <c r="D208" s="2">
        <v>68.900000000000006</v>
      </c>
      <c r="E208" s="2">
        <v>58.3</v>
      </c>
      <c r="F208" s="2">
        <v>74.400000000000006</v>
      </c>
      <c r="G208" s="2" t="s">
        <v>26</v>
      </c>
    </row>
    <row r="209" spans="1:7">
      <c r="A209" s="2" t="s">
        <v>245</v>
      </c>
      <c r="B209" s="2" t="s">
        <v>34</v>
      </c>
      <c r="C209" s="2">
        <v>69.400000000000006</v>
      </c>
      <c r="D209" s="2">
        <v>95.1</v>
      </c>
      <c r="E209" s="2">
        <v>58.3</v>
      </c>
      <c r="F209" s="2">
        <v>88.9</v>
      </c>
      <c r="G209" s="2" t="s">
        <v>22</v>
      </c>
    </row>
    <row r="210" spans="1:7">
      <c r="A210" s="2" t="s">
        <v>114</v>
      </c>
      <c r="B210" s="2" t="s">
        <v>46</v>
      </c>
      <c r="C210" s="2">
        <v>58.7</v>
      </c>
      <c r="D210" s="2">
        <v>67.3</v>
      </c>
      <c r="E210" s="2">
        <v>58.2</v>
      </c>
      <c r="F210" s="2">
        <v>33.700000000000003</v>
      </c>
      <c r="G210" s="2" t="s">
        <v>22</v>
      </c>
    </row>
    <row r="211" spans="1:7">
      <c r="A211" s="2" t="s">
        <v>149</v>
      </c>
      <c r="B211" s="2" t="s">
        <v>24</v>
      </c>
      <c r="C211" s="2">
        <v>91.7</v>
      </c>
      <c r="D211" s="2">
        <v>63.1</v>
      </c>
      <c r="E211" s="2">
        <v>58.1</v>
      </c>
      <c r="F211" s="2">
        <v>87.1</v>
      </c>
      <c r="G211" s="2" t="s">
        <v>26</v>
      </c>
    </row>
    <row r="212" spans="1:7">
      <c r="A212" s="2" t="s">
        <v>317</v>
      </c>
      <c r="B212" s="2" t="s">
        <v>46</v>
      </c>
      <c r="C212" s="2">
        <v>87.6</v>
      </c>
      <c r="D212" s="2">
        <v>93.9</v>
      </c>
      <c r="E212" s="2">
        <v>58</v>
      </c>
      <c r="F212" s="2" t="s">
        <v>91</v>
      </c>
      <c r="G212" s="2" t="s">
        <v>26</v>
      </c>
    </row>
    <row r="213" spans="1:7">
      <c r="A213" s="2" t="s">
        <v>154</v>
      </c>
      <c r="B213" s="2" t="s">
        <v>34</v>
      </c>
      <c r="C213" s="2">
        <v>65.2</v>
      </c>
      <c r="D213" s="2" t="s">
        <v>91</v>
      </c>
      <c r="E213" s="2">
        <v>58</v>
      </c>
      <c r="F213" s="2">
        <v>91</v>
      </c>
      <c r="G213" s="2" t="s">
        <v>22</v>
      </c>
    </row>
    <row r="214" spans="1:7">
      <c r="A214" s="2" t="s">
        <v>227</v>
      </c>
      <c r="B214" s="2" t="s">
        <v>30</v>
      </c>
      <c r="C214" s="2">
        <v>91.4</v>
      </c>
      <c r="D214" s="2">
        <v>69.900000000000006</v>
      </c>
      <c r="E214" s="2">
        <v>58</v>
      </c>
      <c r="F214" s="2">
        <v>82.8</v>
      </c>
      <c r="G214" s="2" t="s">
        <v>26</v>
      </c>
    </row>
    <row r="215" spans="1:7">
      <c r="A215" s="2" t="s">
        <v>296</v>
      </c>
      <c r="B215" s="2" t="s">
        <v>30</v>
      </c>
      <c r="C215" s="2">
        <v>100</v>
      </c>
      <c r="D215" s="2">
        <v>69.8</v>
      </c>
      <c r="E215" s="2">
        <v>57.9</v>
      </c>
      <c r="F215" s="2">
        <v>78.8</v>
      </c>
      <c r="G215" s="2" t="s">
        <v>26</v>
      </c>
    </row>
    <row r="216" spans="1:7">
      <c r="A216" s="2" t="s">
        <v>270</v>
      </c>
      <c r="B216" s="2" t="s">
        <v>30</v>
      </c>
      <c r="C216" s="2">
        <v>71.8</v>
      </c>
      <c r="D216" s="2">
        <v>100</v>
      </c>
      <c r="E216" s="2">
        <v>57.1</v>
      </c>
      <c r="F216" s="2">
        <v>92.2</v>
      </c>
      <c r="G216" s="2" t="s">
        <v>26</v>
      </c>
    </row>
    <row r="217" spans="1:7">
      <c r="A217" s="2" t="s">
        <v>134</v>
      </c>
      <c r="B217" s="2" t="s">
        <v>34</v>
      </c>
      <c r="C217" s="2">
        <v>76.099999999999994</v>
      </c>
      <c r="D217" s="2">
        <v>77.5</v>
      </c>
      <c r="E217" s="2">
        <v>56.8</v>
      </c>
      <c r="F217" s="2">
        <v>100</v>
      </c>
      <c r="G217" s="2" t="s">
        <v>26</v>
      </c>
    </row>
    <row r="218" spans="1:7">
      <c r="A218" s="2" t="s">
        <v>198</v>
      </c>
      <c r="B218" s="2" t="s">
        <v>34</v>
      </c>
      <c r="C218" s="2">
        <v>77.599999999999994</v>
      </c>
      <c r="D218" s="2">
        <v>60.2</v>
      </c>
      <c r="E218" s="2">
        <v>56.7</v>
      </c>
      <c r="F218" s="2">
        <v>71.543880000000001</v>
      </c>
      <c r="G218" s="2" t="s">
        <v>26</v>
      </c>
    </row>
    <row r="219" spans="1:7">
      <c r="A219" s="2" t="s">
        <v>164</v>
      </c>
      <c r="B219" s="2" t="s">
        <v>24</v>
      </c>
      <c r="C219" s="2">
        <v>78</v>
      </c>
      <c r="D219" s="2">
        <v>54.4</v>
      </c>
      <c r="E219" s="2">
        <v>56.4</v>
      </c>
      <c r="F219" s="2">
        <v>82.6</v>
      </c>
      <c r="G219" s="2" t="s">
        <v>26</v>
      </c>
    </row>
    <row r="220" spans="1:7">
      <c r="A220" s="2" t="s">
        <v>279</v>
      </c>
      <c r="B220" s="2" t="s">
        <v>46</v>
      </c>
      <c r="C220" s="2">
        <v>73.599999999999994</v>
      </c>
      <c r="D220" s="2">
        <v>84.8</v>
      </c>
      <c r="E220" s="2">
        <v>56.4</v>
      </c>
      <c r="F220" s="2">
        <v>65.2</v>
      </c>
      <c r="G220" s="2" t="s">
        <v>26</v>
      </c>
    </row>
    <row r="221" spans="1:7">
      <c r="A221" s="2" t="s">
        <v>301</v>
      </c>
      <c r="B221" s="2" t="s">
        <v>21</v>
      </c>
      <c r="C221" s="2">
        <v>84.5</v>
      </c>
      <c r="D221" s="2">
        <v>63.5</v>
      </c>
      <c r="E221" s="2">
        <v>56.2</v>
      </c>
      <c r="F221" s="2">
        <v>85.4</v>
      </c>
      <c r="G221" s="2" t="s">
        <v>26</v>
      </c>
    </row>
    <row r="222" spans="1:7">
      <c r="A222" s="2" t="s">
        <v>52</v>
      </c>
      <c r="B222" s="2" t="s">
        <v>24</v>
      </c>
      <c r="C222" s="2">
        <v>88.4</v>
      </c>
      <c r="D222" s="2">
        <v>67.599999999999994</v>
      </c>
      <c r="E222" s="2">
        <v>56</v>
      </c>
      <c r="F222" s="2">
        <v>66.2</v>
      </c>
      <c r="G222" s="2" t="s">
        <v>26</v>
      </c>
    </row>
    <row r="223" spans="1:7">
      <c r="A223" s="2" t="s">
        <v>306</v>
      </c>
      <c r="B223" s="2" t="s">
        <v>30</v>
      </c>
      <c r="C223" s="2">
        <v>72.900000000000006</v>
      </c>
      <c r="D223" s="2">
        <v>67.599999999999994</v>
      </c>
      <c r="E223" s="2">
        <v>55.4</v>
      </c>
      <c r="F223" s="2">
        <v>77.5</v>
      </c>
      <c r="G223" s="2" t="s">
        <v>26</v>
      </c>
    </row>
    <row r="224" spans="1:7">
      <c r="A224" s="2" t="s">
        <v>158</v>
      </c>
      <c r="B224" s="2" t="s">
        <v>30</v>
      </c>
      <c r="C224" s="2">
        <v>88.6</v>
      </c>
      <c r="D224" s="2">
        <v>77.400000000000006</v>
      </c>
      <c r="E224" s="2">
        <v>54.8</v>
      </c>
      <c r="F224" s="2">
        <v>50.6</v>
      </c>
      <c r="G224" s="2" t="s">
        <v>26</v>
      </c>
    </row>
    <row r="225" spans="1:7">
      <c r="A225" s="2" t="s">
        <v>274</v>
      </c>
      <c r="B225" s="2" t="s">
        <v>24</v>
      </c>
      <c r="C225" s="2">
        <v>97.4</v>
      </c>
      <c r="D225" s="2">
        <v>78.3</v>
      </c>
      <c r="E225" s="2">
        <v>54</v>
      </c>
      <c r="F225" s="2">
        <v>66.2</v>
      </c>
      <c r="G225" s="2" t="s">
        <v>26</v>
      </c>
    </row>
    <row r="226" spans="1:7">
      <c r="A226" s="2" t="s">
        <v>286</v>
      </c>
      <c r="B226" s="2" t="s">
        <v>24</v>
      </c>
      <c r="C226" s="2">
        <v>94.1</v>
      </c>
      <c r="D226" s="2">
        <v>55.5</v>
      </c>
      <c r="E226" s="2">
        <v>54</v>
      </c>
      <c r="F226" s="2">
        <v>65.900000000000006</v>
      </c>
      <c r="G226" s="2" t="s">
        <v>91</v>
      </c>
    </row>
    <row r="227" spans="1:7">
      <c r="A227" s="2" t="s">
        <v>251</v>
      </c>
      <c r="B227" s="2" t="s">
        <v>91</v>
      </c>
      <c r="C227" s="2">
        <v>82</v>
      </c>
      <c r="D227" s="2">
        <v>84.8</v>
      </c>
      <c r="E227" s="2">
        <v>53.7</v>
      </c>
      <c r="F227" s="2">
        <v>91.3</v>
      </c>
      <c r="G227" s="2" t="s">
        <v>26</v>
      </c>
    </row>
    <row r="228" spans="1:7">
      <c r="A228" s="2" t="s">
        <v>116</v>
      </c>
      <c r="B228" s="2" t="s">
        <v>24</v>
      </c>
      <c r="C228" s="2">
        <v>78.3</v>
      </c>
      <c r="D228" s="2">
        <v>86.8</v>
      </c>
      <c r="E228" s="2">
        <v>53.4</v>
      </c>
      <c r="F228" s="2">
        <v>68.5</v>
      </c>
      <c r="G228" s="2" t="s">
        <v>91</v>
      </c>
    </row>
    <row r="229" spans="1:7">
      <c r="A229" s="2" t="s">
        <v>177</v>
      </c>
      <c r="B229" s="2" t="s">
        <v>30</v>
      </c>
      <c r="C229" s="2">
        <v>61.5</v>
      </c>
      <c r="D229" s="2">
        <v>75.7</v>
      </c>
      <c r="E229" s="2">
        <v>53.3</v>
      </c>
      <c r="F229" s="2">
        <v>72</v>
      </c>
      <c r="G229" s="2" t="s">
        <v>22</v>
      </c>
    </row>
    <row r="230" spans="1:7">
      <c r="A230" s="2" t="s">
        <v>221</v>
      </c>
      <c r="B230" s="2" t="s">
        <v>30</v>
      </c>
      <c r="C230" s="2">
        <v>72.900000000000006</v>
      </c>
      <c r="D230" s="2">
        <v>62.8</v>
      </c>
      <c r="E230" s="2">
        <v>53.1</v>
      </c>
      <c r="F230" s="2">
        <v>81.400000000000006</v>
      </c>
      <c r="G230" s="2" t="s">
        <v>26</v>
      </c>
    </row>
    <row r="231" spans="1:7">
      <c r="A231" s="2" t="s">
        <v>211</v>
      </c>
      <c r="B231" s="2" t="s">
        <v>34</v>
      </c>
      <c r="C231" s="2">
        <v>86.2</v>
      </c>
      <c r="D231" s="2">
        <v>88</v>
      </c>
      <c r="E231" s="2">
        <v>52.9</v>
      </c>
      <c r="F231" s="2">
        <v>70.2</v>
      </c>
      <c r="G231" s="2" t="s">
        <v>91</v>
      </c>
    </row>
    <row r="232" spans="1:7">
      <c r="A232" s="2" t="s">
        <v>280</v>
      </c>
      <c r="B232" s="2" t="s">
        <v>21</v>
      </c>
      <c r="C232" s="2">
        <v>58.7</v>
      </c>
      <c r="D232" s="2">
        <v>52</v>
      </c>
      <c r="E232" s="2">
        <v>52.5</v>
      </c>
      <c r="F232" s="2">
        <v>90.8</v>
      </c>
      <c r="G232" s="2" t="s">
        <v>26</v>
      </c>
    </row>
    <row r="233" spans="1:7">
      <c r="A233" s="2" t="s">
        <v>23</v>
      </c>
      <c r="B233" s="2" t="s">
        <v>24</v>
      </c>
      <c r="C233" s="2">
        <v>55.6</v>
      </c>
      <c r="D233" s="2">
        <v>93.7</v>
      </c>
      <c r="E233" s="2">
        <v>52.4</v>
      </c>
      <c r="F233" s="2">
        <v>86.7</v>
      </c>
      <c r="G233" s="2" t="s">
        <v>22</v>
      </c>
    </row>
    <row r="234" spans="1:7">
      <c r="A234" s="2" t="s">
        <v>174</v>
      </c>
      <c r="B234" s="2" t="s">
        <v>34</v>
      </c>
      <c r="C234" s="2">
        <v>58.7</v>
      </c>
      <c r="D234" s="2">
        <v>82.8</v>
      </c>
      <c r="E234" s="2">
        <v>52.4</v>
      </c>
      <c r="F234" s="2">
        <v>80.3</v>
      </c>
      <c r="G234" s="2" t="s">
        <v>26</v>
      </c>
    </row>
    <row r="235" spans="1:7">
      <c r="A235" s="2" t="s">
        <v>317</v>
      </c>
      <c r="B235" s="2" t="s">
        <v>34</v>
      </c>
      <c r="C235" s="2">
        <v>80.900000000000006</v>
      </c>
      <c r="D235" s="2">
        <v>100</v>
      </c>
      <c r="E235" s="2">
        <v>52</v>
      </c>
      <c r="F235" s="2">
        <v>100</v>
      </c>
      <c r="G235" s="2" t="s">
        <v>26</v>
      </c>
    </row>
    <row r="236" spans="1:7">
      <c r="A236" s="2" t="s">
        <v>59</v>
      </c>
      <c r="B236" s="2" t="s">
        <v>28</v>
      </c>
      <c r="C236" s="2">
        <v>84.5</v>
      </c>
      <c r="D236" s="2">
        <v>100</v>
      </c>
      <c r="E236" s="2">
        <v>51.9</v>
      </c>
      <c r="F236" s="2">
        <v>69.400000000000006</v>
      </c>
      <c r="G236" s="2" t="s">
        <v>26</v>
      </c>
    </row>
    <row r="237" spans="1:7">
      <c r="A237" s="2" t="s">
        <v>238</v>
      </c>
      <c r="B237" s="2" t="s">
        <v>91</v>
      </c>
      <c r="C237" s="2">
        <v>93.7</v>
      </c>
      <c r="D237" s="2">
        <v>73.599999999999994</v>
      </c>
      <c r="E237" s="2">
        <v>51.5</v>
      </c>
      <c r="F237" s="2">
        <v>89</v>
      </c>
      <c r="G237" s="2" t="s">
        <v>26</v>
      </c>
    </row>
    <row r="238" spans="1:7">
      <c r="A238" s="2" t="s">
        <v>295</v>
      </c>
      <c r="B238" s="2" t="s">
        <v>24</v>
      </c>
      <c r="C238" s="2">
        <v>90</v>
      </c>
      <c r="D238" s="2">
        <v>61.3</v>
      </c>
      <c r="E238" s="2">
        <v>51.2</v>
      </c>
      <c r="F238" s="2">
        <v>86.8</v>
      </c>
      <c r="G238" s="2" t="s">
        <v>26</v>
      </c>
    </row>
    <row r="239" spans="1:7">
      <c r="A239" s="2" t="s">
        <v>147</v>
      </c>
      <c r="B239" s="2" t="s">
        <v>34</v>
      </c>
      <c r="C239" s="2">
        <v>89.6</v>
      </c>
      <c r="D239" s="2">
        <v>53.1</v>
      </c>
      <c r="E239" s="2">
        <v>51</v>
      </c>
      <c r="F239" s="2">
        <v>71.543880000000001</v>
      </c>
      <c r="G239" s="2" t="s">
        <v>26</v>
      </c>
    </row>
    <row r="240" spans="1:7">
      <c r="A240" s="2" t="s">
        <v>317</v>
      </c>
      <c r="B240" s="2" t="s">
        <v>28</v>
      </c>
      <c r="C240" s="2">
        <v>79.5</v>
      </c>
      <c r="D240" s="2">
        <v>64.400000000000006</v>
      </c>
      <c r="E240" s="2">
        <v>50.7</v>
      </c>
      <c r="F240" s="2">
        <v>50.9</v>
      </c>
      <c r="G240" s="2" t="s">
        <v>22</v>
      </c>
    </row>
    <row r="241" spans="1:7">
      <c r="A241" s="2" t="s">
        <v>129</v>
      </c>
      <c r="B241" s="2" t="s">
        <v>34</v>
      </c>
      <c r="C241" s="2">
        <v>95.3</v>
      </c>
      <c r="D241" s="2">
        <v>70.3</v>
      </c>
      <c r="E241" s="2">
        <v>50.1</v>
      </c>
      <c r="F241" s="2">
        <v>61</v>
      </c>
      <c r="G241" s="2" t="s">
        <v>26</v>
      </c>
    </row>
    <row r="242" spans="1:7">
      <c r="A242" s="2" t="s">
        <v>264</v>
      </c>
      <c r="B242" s="2" t="s">
        <v>34</v>
      </c>
      <c r="C242" s="2">
        <v>100</v>
      </c>
      <c r="D242" s="2">
        <v>78.8</v>
      </c>
      <c r="E242" s="2">
        <v>49.9</v>
      </c>
      <c r="F242" s="2">
        <v>66.8</v>
      </c>
      <c r="G242" s="2" t="s">
        <v>26</v>
      </c>
    </row>
    <row r="243" spans="1:7">
      <c r="A243" s="2" t="s">
        <v>273</v>
      </c>
      <c r="B243" s="2" t="s">
        <v>24</v>
      </c>
      <c r="C243" s="2">
        <v>67.2</v>
      </c>
      <c r="D243" s="2">
        <v>100</v>
      </c>
      <c r="E243" s="2">
        <v>49.8</v>
      </c>
      <c r="F243" s="2">
        <v>71.543880000000001</v>
      </c>
      <c r="G243" s="2" t="s">
        <v>62</v>
      </c>
    </row>
    <row r="244" spans="1:7">
      <c r="A244" s="2" t="s">
        <v>92</v>
      </c>
      <c r="B244" s="2" t="s">
        <v>24</v>
      </c>
      <c r="C244" s="2">
        <v>85.8</v>
      </c>
      <c r="D244" s="2">
        <v>87.9</v>
      </c>
      <c r="E244" s="2">
        <v>49.7</v>
      </c>
      <c r="F244" s="2">
        <v>40.799999999999997</v>
      </c>
      <c r="G244" s="2" t="s">
        <v>22</v>
      </c>
    </row>
    <row r="245" spans="1:7">
      <c r="A245" s="2" t="s">
        <v>20</v>
      </c>
      <c r="B245" s="2" t="s">
        <v>21</v>
      </c>
      <c r="C245" s="2">
        <v>58.7</v>
      </c>
      <c r="D245" s="2">
        <v>69.8</v>
      </c>
      <c r="E245" s="2">
        <v>49.5</v>
      </c>
      <c r="F245" s="2">
        <v>71.543880000000001</v>
      </c>
      <c r="G245" s="2" t="s">
        <v>22</v>
      </c>
    </row>
    <row r="246" spans="1:7">
      <c r="A246" s="2" t="s">
        <v>25</v>
      </c>
      <c r="B246" s="2" t="s">
        <v>21</v>
      </c>
      <c r="C246" s="2">
        <v>95.4</v>
      </c>
      <c r="D246" s="2">
        <v>53.1</v>
      </c>
      <c r="E246" s="2">
        <v>49.5</v>
      </c>
      <c r="F246" s="2">
        <v>76.2</v>
      </c>
      <c r="G246" s="2" t="s">
        <v>26</v>
      </c>
    </row>
    <row r="247" spans="1:7">
      <c r="A247" s="2" t="s">
        <v>29</v>
      </c>
      <c r="B247" s="2" t="s">
        <v>30</v>
      </c>
      <c r="C247" s="2">
        <v>87.6</v>
      </c>
      <c r="D247" s="2">
        <v>91.8</v>
      </c>
      <c r="E247" s="2">
        <v>49.5</v>
      </c>
      <c r="F247" s="2">
        <v>84.7</v>
      </c>
      <c r="G247" s="2" t="s">
        <v>31</v>
      </c>
    </row>
    <row r="248" spans="1:7">
      <c r="A248" s="2" t="s">
        <v>32</v>
      </c>
      <c r="B248" s="2" t="s">
        <v>24</v>
      </c>
      <c r="C248" s="2">
        <v>74.099999999999994</v>
      </c>
      <c r="D248" s="2">
        <v>96</v>
      </c>
      <c r="E248" s="2">
        <v>49.5</v>
      </c>
      <c r="F248" s="2">
        <v>58</v>
      </c>
      <c r="G248" s="2" t="s">
        <v>26</v>
      </c>
    </row>
    <row r="249" spans="1:7">
      <c r="A249" s="2" t="s">
        <v>38</v>
      </c>
      <c r="B249" s="2" t="s">
        <v>21</v>
      </c>
      <c r="C249" s="2">
        <v>96.1</v>
      </c>
      <c r="D249" s="2" t="s">
        <v>39</v>
      </c>
      <c r="E249" s="2">
        <v>49.5</v>
      </c>
      <c r="F249" s="2">
        <v>83.8</v>
      </c>
      <c r="G249" s="2" t="s">
        <v>26</v>
      </c>
    </row>
    <row r="250" spans="1:7">
      <c r="A250" s="2" t="s">
        <v>47</v>
      </c>
      <c r="B250" s="2" t="s">
        <v>34</v>
      </c>
      <c r="C250" s="2">
        <v>91.7</v>
      </c>
      <c r="D250" s="2">
        <v>78.3</v>
      </c>
      <c r="E250" s="2">
        <v>49.5</v>
      </c>
      <c r="F250" s="2">
        <v>57.3</v>
      </c>
      <c r="G250" s="2" t="s">
        <v>26</v>
      </c>
    </row>
    <row r="251" spans="1:7">
      <c r="A251" s="2" t="s">
        <v>70</v>
      </c>
      <c r="B251" s="2" t="s">
        <v>24</v>
      </c>
      <c r="C251" s="2">
        <v>95.6</v>
      </c>
      <c r="D251" s="2">
        <v>53.2</v>
      </c>
      <c r="E251" s="2">
        <v>49.5</v>
      </c>
      <c r="F251" s="2">
        <v>78.7</v>
      </c>
      <c r="G251" s="2" t="s">
        <v>26</v>
      </c>
    </row>
    <row r="252" spans="1:7">
      <c r="A252" s="2" t="s">
        <v>72</v>
      </c>
      <c r="B252" s="2" t="s">
        <v>24</v>
      </c>
      <c r="C252" s="2">
        <v>96.3</v>
      </c>
      <c r="D252" s="2">
        <v>70.900000000000006</v>
      </c>
      <c r="E252" s="2">
        <v>49.5</v>
      </c>
      <c r="F252" s="2">
        <v>57.9</v>
      </c>
      <c r="G252" s="2" t="s">
        <v>26</v>
      </c>
    </row>
    <row r="253" spans="1:7">
      <c r="A253" s="2" t="s">
        <v>100</v>
      </c>
      <c r="B253" s="2" t="s">
        <v>24</v>
      </c>
      <c r="C253" s="2">
        <v>80.7</v>
      </c>
      <c r="D253" s="2">
        <v>100</v>
      </c>
      <c r="E253" s="2">
        <v>49.5</v>
      </c>
      <c r="F253" s="2">
        <v>72.3</v>
      </c>
      <c r="G253" s="2" t="s">
        <v>26</v>
      </c>
    </row>
    <row r="254" spans="1:7">
      <c r="A254" s="2" t="s">
        <v>104</v>
      </c>
      <c r="B254" s="2" t="s">
        <v>46</v>
      </c>
      <c r="C254" s="2">
        <v>58.7</v>
      </c>
      <c r="D254" s="2">
        <v>75.3</v>
      </c>
      <c r="E254" s="2">
        <v>49.5</v>
      </c>
      <c r="F254" s="2">
        <v>83.6</v>
      </c>
      <c r="G254" s="2" t="s">
        <v>26</v>
      </c>
    </row>
    <row r="255" spans="1:7">
      <c r="A255" s="2" t="s">
        <v>125</v>
      </c>
      <c r="B255" s="2" t="s">
        <v>46</v>
      </c>
      <c r="C255" s="2">
        <v>72.099999999999994</v>
      </c>
      <c r="D255" s="2">
        <v>61.7</v>
      </c>
      <c r="E255" s="2">
        <v>49.5</v>
      </c>
      <c r="F255" s="2">
        <v>59.5</v>
      </c>
      <c r="G255" s="2" t="s">
        <v>26</v>
      </c>
    </row>
    <row r="256" spans="1:7">
      <c r="A256" s="2" t="s">
        <v>140</v>
      </c>
      <c r="B256" s="2" t="s">
        <v>28</v>
      </c>
      <c r="C256" s="2">
        <v>68.900000000000006</v>
      </c>
      <c r="D256" s="2">
        <v>60.9</v>
      </c>
      <c r="E256" s="2">
        <v>49.5</v>
      </c>
      <c r="F256" s="2">
        <v>77.2</v>
      </c>
      <c r="G256" s="2" t="s">
        <v>22</v>
      </c>
    </row>
    <row r="257" spans="1:7">
      <c r="A257" s="2" t="s">
        <v>176</v>
      </c>
      <c r="B257" s="2" t="s">
        <v>30</v>
      </c>
      <c r="C257" s="2">
        <v>74.900000000000006</v>
      </c>
      <c r="D257" s="2">
        <v>85.2</v>
      </c>
      <c r="E257" s="2">
        <v>49.5</v>
      </c>
      <c r="F257" s="2">
        <v>64.099999999999994</v>
      </c>
      <c r="G257" s="2" t="s">
        <v>26</v>
      </c>
    </row>
    <row r="258" spans="1:7">
      <c r="A258" s="2" t="s">
        <v>186</v>
      </c>
      <c r="B258" s="2" t="s">
        <v>30</v>
      </c>
      <c r="C258" s="2">
        <v>90</v>
      </c>
      <c r="D258" s="2">
        <v>87.2</v>
      </c>
      <c r="E258" s="2">
        <v>49.5</v>
      </c>
      <c r="F258" s="2">
        <v>88.9</v>
      </c>
      <c r="G258" s="2" t="s">
        <v>26</v>
      </c>
    </row>
    <row r="259" spans="1:7">
      <c r="A259" s="2" t="s">
        <v>219</v>
      </c>
      <c r="B259" s="2" t="s">
        <v>34</v>
      </c>
      <c r="C259" s="2">
        <v>92.8</v>
      </c>
      <c r="D259" s="2">
        <v>64.8</v>
      </c>
      <c r="E259" s="2">
        <v>49.5</v>
      </c>
      <c r="F259" s="2">
        <v>60.7</v>
      </c>
      <c r="G259" s="2" t="s">
        <v>26</v>
      </c>
    </row>
    <row r="260" spans="1:7">
      <c r="A260" s="2" t="s">
        <v>224</v>
      </c>
      <c r="B260" s="2" t="s">
        <v>30</v>
      </c>
      <c r="C260" s="2">
        <v>88.7</v>
      </c>
      <c r="D260" s="2">
        <v>84</v>
      </c>
      <c r="E260" s="2">
        <v>49.5</v>
      </c>
      <c r="F260" s="2">
        <v>53.3</v>
      </c>
      <c r="G260" s="2" t="s">
        <v>26</v>
      </c>
    </row>
    <row r="261" spans="1:7">
      <c r="A261" s="2" t="s">
        <v>261</v>
      </c>
      <c r="B261" s="2" t="s">
        <v>21</v>
      </c>
      <c r="C261" s="2">
        <v>84.9</v>
      </c>
      <c r="D261" s="2">
        <v>80.7</v>
      </c>
      <c r="E261" s="2">
        <v>49.5</v>
      </c>
      <c r="F261" s="2">
        <v>49.2</v>
      </c>
      <c r="G261" s="2" t="s">
        <v>26</v>
      </c>
    </row>
    <row r="262" spans="1:7">
      <c r="A262" s="2" t="s">
        <v>275</v>
      </c>
      <c r="B262" s="2" t="s">
        <v>34</v>
      </c>
      <c r="C262" s="2">
        <v>79.900000000000006</v>
      </c>
      <c r="D262" s="2">
        <v>62.6</v>
      </c>
      <c r="E262" s="2">
        <v>49.5</v>
      </c>
      <c r="F262" s="2">
        <v>62.3</v>
      </c>
      <c r="G262" s="2" t="s">
        <v>26</v>
      </c>
    </row>
    <row r="263" spans="1:7">
      <c r="A263" s="2" t="s">
        <v>284</v>
      </c>
      <c r="B263" s="2" t="s">
        <v>21</v>
      </c>
      <c r="C263" s="2">
        <v>75.2</v>
      </c>
      <c r="D263" s="2">
        <v>76.400000000000006</v>
      </c>
      <c r="E263" s="2">
        <v>49.5</v>
      </c>
      <c r="F263" s="2">
        <v>98.9</v>
      </c>
      <c r="G263" s="2" t="s">
        <v>26</v>
      </c>
    </row>
    <row r="264" spans="1:7">
      <c r="A264" s="2" t="s">
        <v>287</v>
      </c>
      <c r="B264" s="2" t="s">
        <v>28</v>
      </c>
      <c r="C264" s="2">
        <v>69.900000000000006</v>
      </c>
      <c r="D264" s="2">
        <v>80.7</v>
      </c>
      <c r="E264" s="2">
        <v>49.5</v>
      </c>
      <c r="F264" s="2">
        <v>88.2</v>
      </c>
      <c r="G264" s="2" t="s">
        <v>22</v>
      </c>
    </row>
    <row r="265" spans="1:7">
      <c r="A265" s="2" t="s">
        <v>170</v>
      </c>
      <c r="B265" s="2" t="s">
        <v>91</v>
      </c>
      <c r="C265" s="2">
        <v>93.2</v>
      </c>
      <c r="D265" s="2">
        <v>70.8</v>
      </c>
      <c r="E265" s="2">
        <v>49.3</v>
      </c>
      <c r="F265" s="2">
        <v>45.8</v>
      </c>
      <c r="G265" s="2" t="s">
        <v>22</v>
      </c>
    </row>
    <row r="266" spans="1:7">
      <c r="A266" s="2" t="s">
        <v>181</v>
      </c>
      <c r="B266" s="2" t="s">
        <v>182</v>
      </c>
      <c r="C266" s="2">
        <v>78.3</v>
      </c>
      <c r="D266" s="2">
        <v>57</v>
      </c>
      <c r="E266" s="2">
        <v>49</v>
      </c>
      <c r="F266" s="2">
        <v>85.7</v>
      </c>
      <c r="G266" s="2" t="s">
        <v>26</v>
      </c>
    </row>
    <row r="267" spans="1:7">
      <c r="A267" s="2" t="s">
        <v>80</v>
      </c>
      <c r="B267" s="2" t="s">
        <v>24</v>
      </c>
      <c r="C267" s="2">
        <v>77.3</v>
      </c>
      <c r="D267" s="2">
        <v>67.5</v>
      </c>
      <c r="E267" s="2">
        <v>48.8</v>
      </c>
      <c r="F267" s="2">
        <v>66.599999999999994</v>
      </c>
      <c r="G267" s="2" t="s">
        <v>26</v>
      </c>
    </row>
    <row r="268" spans="1:7">
      <c r="A268" s="2" t="s">
        <v>248</v>
      </c>
      <c r="B268" s="2" t="s">
        <v>24</v>
      </c>
      <c r="C268" s="2">
        <v>92</v>
      </c>
      <c r="D268" s="2">
        <v>52.1</v>
      </c>
      <c r="E268" s="2">
        <v>48.5</v>
      </c>
      <c r="F268" s="2">
        <v>99.8</v>
      </c>
      <c r="G268" s="2" t="s">
        <v>26</v>
      </c>
    </row>
    <row r="269" spans="1:7">
      <c r="A269" s="2" t="s">
        <v>191</v>
      </c>
      <c r="B269" s="2" t="s">
        <v>34</v>
      </c>
      <c r="C269" s="2">
        <v>77.900000000000006</v>
      </c>
      <c r="D269" s="2">
        <v>97.9</v>
      </c>
      <c r="E269" s="2">
        <v>48.1</v>
      </c>
      <c r="F269" s="2">
        <v>46</v>
      </c>
      <c r="G269" s="2" t="s">
        <v>26</v>
      </c>
    </row>
    <row r="270" spans="1:7">
      <c r="A270" s="2" t="s">
        <v>178</v>
      </c>
      <c r="B270" s="2" t="s">
        <v>46</v>
      </c>
      <c r="C270" s="2">
        <v>90.6</v>
      </c>
      <c r="D270" s="2">
        <v>60.9</v>
      </c>
      <c r="E270" s="2">
        <v>48</v>
      </c>
      <c r="F270" s="2">
        <v>39.200000000000003</v>
      </c>
      <c r="G270" s="2" t="s">
        <v>22</v>
      </c>
    </row>
    <row r="271" spans="1:7">
      <c r="A271" s="2" t="s">
        <v>137</v>
      </c>
      <c r="B271" s="2" t="s">
        <v>30</v>
      </c>
      <c r="C271" s="2">
        <v>45.5</v>
      </c>
      <c r="D271" s="2">
        <v>52.9</v>
      </c>
      <c r="E271" s="2">
        <v>47.8</v>
      </c>
      <c r="F271" s="2">
        <v>45.5</v>
      </c>
      <c r="G271" s="2" t="s">
        <v>22</v>
      </c>
    </row>
    <row r="272" spans="1:7">
      <c r="A272" s="2" t="s">
        <v>137</v>
      </c>
      <c r="B272" s="2" t="s">
        <v>30</v>
      </c>
      <c r="C272" s="2">
        <v>45.5</v>
      </c>
      <c r="D272" s="2">
        <v>-1</v>
      </c>
      <c r="E272" s="2">
        <v>47.8</v>
      </c>
      <c r="F272" s="2">
        <v>45.5</v>
      </c>
      <c r="G272" s="2" t="s">
        <v>185</v>
      </c>
    </row>
    <row r="273" spans="1:7">
      <c r="A273" s="2" t="s">
        <v>302</v>
      </c>
      <c r="B273" s="2" t="s">
        <v>21</v>
      </c>
      <c r="C273" s="2">
        <v>62.8</v>
      </c>
      <c r="D273" s="2">
        <v>82.1</v>
      </c>
      <c r="E273" s="2">
        <v>47.3</v>
      </c>
      <c r="F273" s="2">
        <v>68.599999999999994</v>
      </c>
      <c r="G273" s="2" t="s">
        <v>22</v>
      </c>
    </row>
    <row r="274" spans="1:7">
      <c r="A274" s="2" t="s">
        <v>210</v>
      </c>
      <c r="B274" s="2" t="s">
        <v>24</v>
      </c>
      <c r="C274" s="2">
        <v>62.9</v>
      </c>
      <c r="D274" s="2">
        <v>64.2</v>
      </c>
      <c r="E274" s="2">
        <v>46.4</v>
      </c>
      <c r="F274" s="2">
        <v>100</v>
      </c>
      <c r="G274" s="2" t="s">
        <v>22</v>
      </c>
    </row>
    <row r="275" spans="1:7">
      <c r="A275" s="2" t="s">
        <v>133</v>
      </c>
      <c r="B275" s="2" t="s">
        <v>21</v>
      </c>
      <c r="C275" s="2">
        <v>92.4</v>
      </c>
      <c r="D275" s="2">
        <v>50.8</v>
      </c>
      <c r="E275" s="2">
        <v>45.7</v>
      </c>
      <c r="F275" s="2">
        <v>77.2</v>
      </c>
      <c r="G275" s="2" t="s">
        <v>22</v>
      </c>
    </row>
    <row r="276" spans="1:7">
      <c r="A276" s="2" t="s">
        <v>95</v>
      </c>
      <c r="B276" s="2" t="s">
        <v>24</v>
      </c>
      <c r="C276" s="2">
        <v>96.6</v>
      </c>
      <c r="D276" s="2">
        <v>68.900000000000006</v>
      </c>
      <c r="E276" s="2">
        <v>45.6</v>
      </c>
      <c r="F276" s="2">
        <v>85</v>
      </c>
      <c r="G276" s="2" t="s">
        <v>74</v>
      </c>
    </row>
    <row r="277" spans="1:7">
      <c r="A277" s="2" t="s">
        <v>95</v>
      </c>
      <c r="B277" s="2" t="s">
        <v>24</v>
      </c>
      <c r="C277" s="2">
        <v>96.6</v>
      </c>
      <c r="D277" s="2">
        <v>69.8</v>
      </c>
      <c r="E277" s="2">
        <v>45.6</v>
      </c>
      <c r="F277" s="2">
        <v>85</v>
      </c>
      <c r="G277" s="2" t="s">
        <v>26</v>
      </c>
    </row>
    <row r="278" spans="1:7">
      <c r="A278" s="2" t="s">
        <v>317</v>
      </c>
      <c r="B278" s="2" t="s">
        <v>34</v>
      </c>
      <c r="C278" s="2">
        <v>76.099999999999994</v>
      </c>
      <c r="D278" s="2">
        <v>49</v>
      </c>
      <c r="E278" s="2">
        <v>44.8</v>
      </c>
      <c r="F278" s="2">
        <v>42</v>
      </c>
      <c r="G278" s="2" t="s">
        <v>22</v>
      </c>
    </row>
    <row r="279" spans="1:7">
      <c r="A279" s="2" t="s">
        <v>233</v>
      </c>
      <c r="B279" s="2" t="s">
        <v>46</v>
      </c>
      <c r="C279" s="2">
        <v>75.599999999999994</v>
      </c>
      <c r="D279" s="2">
        <v>30.3</v>
      </c>
      <c r="E279" s="2">
        <v>44.7</v>
      </c>
      <c r="F279" s="2">
        <v>70.599999999999994</v>
      </c>
      <c r="G279" s="2" t="s">
        <v>22</v>
      </c>
    </row>
    <row r="280" spans="1:7">
      <c r="A280" s="2" t="s">
        <v>244</v>
      </c>
      <c r="B280" s="2" t="s">
        <v>34</v>
      </c>
      <c r="C280" s="2">
        <v>79.099999999999994</v>
      </c>
      <c r="D280" s="2">
        <v>45.6</v>
      </c>
      <c r="E280" s="2">
        <v>44.6</v>
      </c>
      <c r="F280" s="2">
        <v>76.5</v>
      </c>
      <c r="G280" s="2" t="s">
        <v>91</v>
      </c>
    </row>
    <row r="281" spans="1:7">
      <c r="A281" s="2" t="s">
        <v>69</v>
      </c>
      <c r="B281" s="2" t="s">
        <v>30</v>
      </c>
      <c r="C281" s="2">
        <v>83.8</v>
      </c>
      <c r="D281" s="2">
        <v>72.2</v>
      </c>
      <c r="E281" s="2">
        <v>44.1</v>
      </c>
      <c r="F281" s="2">
        <v>71.543880000000001</v>
      </c>
      <c r="G281" s="2" t="s">
        <v>22</v>
      </c>
    </row>
    <row r="282" spans="1:7">
      <c r="A282" s="2" t="s">
        <v>83</v>
      </c>
      <c r="B282" s="2" t="s">
        <v>30</v>
      </c>
      <c r="C282" s="2">
        <v>89.2</v>
      </c>
      <c r="D282" s="2">
        <v>65.2</v>
      </c>
      <c r="E282" s="2">
        <v>43.5</v>
      </c>
      <c r="F282" s="2">
        <v>71.543880000000001</v>
      </c>
      <c r="G282" s="2" t="s">
        <v>26</v>
      </c>
    </row>
    <row r="283" spans="1:7">
      <c r="A283" s="2" t="s">
        <v>157</v>
      </c>
      <c r="B283" s="2" t="s">
        <v>30</v>
      </c>
      <c r="C283" s="2">
        <v>81.400000000000006</v>
      </c>
      <c r="D283" s="2">
        <v>46.5</v>
      </c>
      <c r="E283" s="2">
        <v>43.4</v>
      </c>
      <c r="F283" s="2">
        <v>62.6</v>
      </c>
      <c r="G283" s="2" t="s">
        <v>22</v>
      </c>
    </row>
    <row r="284" spans="1:7">
      <c r="A284" s="2" t="s">
        <v>262</v>
      </c>
      <c r="B284" s="2" t="s">
        <v>34</v>
      </c>
      <c r="C284" s="2">
        <v>79.5</v>
      </c>
      <c r="D284" s="2">
        <v>82</v>
      </c>
      <c r="E284" s="2">
        <v>43.2</v>
      </c>
      <c r="F284" s="2">
        <v>71.543880000000001</v>
      </c>
      <c r="G284" s="2" t="s">
        <v>26</v>
      </c>
    </row>
    <row r="285" spans="1:7">
      <c r="A285" s="2" t="s">
        <v>71</v>
      </c>
      <c r="B285" s="2" t="s">
        <v>46</v>
      </c>
      <c r="C285" s="2">
        <v>97.7</v>
      </c>
      <c r="D285" s="2">
        <v>82.3</v>
      </c>
      <c r="E285" s="2">
        <v>42.3</v>
      </c>
      <c r="F285" s="2">
        <v>78.5</v>
      </c>
      <c r="G285" s="2" t="s">
        <v>26</v>
      </c>
    </row>
    <row r="286" spans="1:7">
      <c r="A286" s="2" t="s">
        <v>201</v>
      </c>
      <c r="B286" s="2" t="s">
        <v>46</v>
      </c>
      <c r="C286" s="2">
        <v>71.900000000000006</v>
      </c>
      <c r="D286" s="2">
        <v>56.3</v>
      </c>
      <c r="E286" s="2">
        <v>41.9</v>
      </c>
      <c r="F286" s="2">
        <v>75.599999999999994</v>
      </c>
      <c r="G286" s="2" t="s">
        <v>22</v>
      </c>
    </row>
    <row r="287" spans="1:7">
      <c r="A287" s="2" t="s">
        <v>150</v>
      </c>
      <c r="B287" s="2" t="s">
        <v>21</v>
      </c>
      <c r="C287" s="2">
        <v>76.5</v>
      </c>
      <c r="D287" s="2">
        <v>63.4</v>
      </c>
      <c r="E287" s="2">
        <v>40.4</v>
      </c>
      <c r="F287" s="2">
        <v>51.8</v>
      </c>
      <c r="G287" s="2" t="s">
        <v>22</v>
      </c>
    </row>
    <row r="288" spans="1:7">
      <c r="A288" s="2" t="s">
        <v>317</v>
      </c>
      <c r="B288" s="2" t="s">
        <v>24</v>
      </c>
      <c r="C288" s="2">
        <v>66.8</v>
      </c>
      <c r="D288" s="2">
        <v>79.900000000000006</v>
      </c>
      <c r="E288" s="2">
        <v>39.6</v>
      </c>
      <c r="F288" s="2">
        <v>37.6</v>
      </c>
      <c r="G288" s="2" t="s">
        <v>22</v>
      </c>
    </row>
    <row r="289" spans="1:7">
      <c r="A289" s="2" t="s">
        <v>297</v>
      </c>
      <c r="B289" s="2" t="s">
        <v>28</v>
      </c>
      <c r="C289" s="2">
        <v>85.2</v>
      </c>
      <c r="D289" s="2">
        <v>76.099999999999994</v>
      </c>
      <c r="E289" s="2">
        <v>38.9</v>
      </c>
      <c r="F289" s="2">
        <v>94.1</v>
      </c>
      <c r="G289" s="2" t="s">
        <v>26</v>
      </c>
    </row>
    <row r="290" spans="1:7">
      <c r="A290" s="2" t="s">
        <v>226</v>
      </c>
      <c r="B290" s="2" t="s">
        <v>30</v>
      </c>
      <c r="C290" s="2">
        <v>68.900000000000006</v>
      </c>
      <c r="D290" s="2">
        <v>85.3</v>
      </c>
      <c r="E290" s="2">
        <v>38.6</v>
      </c>
      <c r="F290" s="2">
        <v>71</v>
      </c>
      <c r="G290" s="2" t="s">
        <v>22</v>
      </c>
    </row>
    <row r="291" spans="1:7">
      <c r="A291" s="2" t="s">
        <v>87</v>
      </c>
      <c r="B291" s="2" t="s">
        <v>24</v>
      </c>
      <c r="C291" s="2">
        <v>84.4</v>
      </c>
      <c r="D291" s="2">
        <v>85.3</v>
      </c>
      <c r="E291" s="2">
        <v>33.5</v>
      </c>
      <c r="F291" s="2">
        <v>100</v>
      </c>
      <c r="G291" s="2" t="s">
        <v>26</v>
      </c>
    </row>
    <row r="292" spans="1:7">
      <c r="A292" s="2" t="s">
        <v>105</v>
      </c>
      <c r="B292" s="2" t="s">
        <v>30</v>
      </c>
      <c r="C292" s="2">
        <v>82.5</v>
      </c>
      <c r="D292" s="2">
        <v>60.3</v>
      </c>
      <c r="E292" s="2">
        <v>33.200000000000003</v>
      </c>
      <c r="F292" s="2">
        <v>85.2</v>
      </c>
      <c r="G292" s="2" t="s">
        <v>22</v>
      </c>
    </row>
    <row r="293" spans="1:7">
      <c r="A293" s="2" t="s">
        <v>93</v>
      </c>
      <c r="B293" s="2" t="s">
        <v>34</v>
      </c>
      <c r="C293" s="2">
        <v>84.6</v>
      </c>
      <c r="D293" s="2">
        <v>80.5</v>
      </c>
      <c r="E293" s="2">
        <v>32.9</v>
      </c>
      <c r="F293" s="2">
        <v>36.799999999999997</v>
      </c>
      <c r="G293" s="2" t="s">
        <v>22</v>
      </c>
    </row>
    <row r="294" spans="1:7">
      <c r="A294" s="2" t="s">
        <v>317</v>
      </c>
      <c r="B294" s="2" t="s">
        <v>34</v>
      </c>
      <c r="C294" s="2">
        <v>82</v>
      </c>
      <c r="D294" s="2">
        <v>68.8</v>
      </c>
      <c r="E294" s="2">
        <v>31.2</v>
      </c>
      <c r="F294" s="2">
        <v>85.3</v>
      </c>
      <c r="G294" s="2" t="s">
        <v>26</v>
      </c>
    </row>
    <row r="295" spans="1:7">
      <c r="A295" s="2" t="s">
        <v>138</v>
      </c>
      <c r="B295" s="2" t="s">
        <v>46</v>
      </c>
      <c r="C295" s="2">
        <v>85.5</v>
      </c>
      <c r="D295" s="2">
        <v>64.599999999999994</v>
      </c>
      <c r="E295" s="2">
        <v>29.6</v>
      </c>
      <c r="F295" s="2">
        <v>89.8</v>
      </c>
      <c r="G295" s="2" t="s">
        <v>26</v>
      </c>
    </row>
    <row r="296" spans="1:7">
      <c r="A296" s="2" t="s">
        <v>282</v>
      </c>
      <c r="B296" s="2" t="s">
        <v>24</v>
      </c>
      <c r="C296" s="2">
        <v>82.6</v>
      </c>
      <c r="D296" s="2">
        <v>57.2</v>
      </c>
      <c r="E296" s="2">
        <v>22.2</v>
      </c>
      <c r="F296" s="2">
        <v>60.4</v>
      </c>
      <c r="G296" s="2" t="s">
        <v>22</v>
      </c>
    </row>
    <row r="297" spans="1:7">
      <c r="A297" s="2" t="s">
        <v>283</v>
      </c>
      <c r="B297" s="2" t="s">
        <v>111</v>
      </c>
      <c r="C297" s="2">
        <v>83.8</v>
      </c>
      <c r="D297" s="2">
        <v>79.2</v>
      </c>
      <c r="E297" s="2">
        <v>11.4</v>
      </c>
      <c r="F297" s="2">
        <v>49.5</v>
      </c>
      <c r="G297" s="2" t="s">
        <v>22</v>
      </c>
    </row>
    <row r="298" spans="1:7">
      <c r="A298" s="2" t="s">
        <v>49</v>
      </c>
      <c r="B298" s="2" t="s">
        <v>30</v>
      </c>
      <c r="C298" s="2">
        <v>83.9</v>
      </c>
      <c r="D298" s="2">
        <v>96.6</v>
      </c>
      <c r="E298" s="2">
        <v>-2</v>
      </c>
      <c r="F298" s="2">
        <v>91.8</v>
      </c>
      <c r="G298" s="2"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C97-431F-4510-B701-895F55511B2D}">
  <dimension ref="A1:S56"/>
  <sheetViews>
    <sheetView topLeftCell="A4" workbookViewId="0">
      <selection activeCell="I43" sqref="I43"/>
    </sheetView>
  </sheetViews>
  <sheetFormatPr defaultRowHeight="14.5"/>
  <cols>
    <col min="1" max="1" width="30" bestFit="1" customWidth="1"/>
    <col min="2" max="2" width="17.54296875" customWidth="1"/>
    <col min="3" max="3" width="14.26953125" customWidth="1"/>
    <col min="4" max="4" width="9" customWidth="1"/>
    <col min="5" max="5" width="5.1796875" customWidth="1"/>
    <col min="6" max="6" width="7.453125" customWidth="1"/>
    <col min="7" max="7" width="12.1796875" customWidth="1"/>
  </cols>
  <sheetData>
    <row r="1" spans="1:19" ht="26">
      <c r="A1" s="23" t="s">
        <v>318</v>
      </c>
      <c r="B1" s="23"/>
      <c r="C1" s="23"/>
      <c r="D1" s="23"/>
      <c r="E1" s="23"/>
      <c r="F1" s="23"/>
      <c r="G1" s="23"/>
      <c r="H1" s="23"/>
      <c r="I1" s="23"/>
      <c r="J1" s="23"/>
      <c r="K1" s="23"/>
      <c r="L1" s="23"/>
      <c r="M1" s="23"/>
      <c r="N1" s="23"/>
      <c r="O1" s="23"/>
      <c r="P1" s="23"/>
      <c r="Q1" s="23"/>
      <c r="R1" s="23"/>
      <c r="S1" s="23"/>
    </row>
    <row r="3" spans="1:19" ht="17">
      <c r="A3" s="24" t="s">
        <v>319</v>
      </c>
      <c r="B3" s="25"/>
      <c r="C3" s="25"/>
      <c r="D3" s="25"/>
      <c r="E3" s="25"/>
    </row>
    <row r="4" spans="1:19">
      <c r="A4" s="1" t="s">
        <v>320</v>
      </c>
      <c r="B4" s="7">
        <v>297</v>
      </c>
      <c r="D4" s="7"/>
    </row>
    <row r="5" spans="1:19">
      <c r="A5" s="1" t="s">
        <v>321</v>
      </c>
      <c r="B5" s="7" cm="1">
        <f t="array" ref="B5">COUNTA(_xlfn.UNIQUE(Deeqo1[],A2:A298))</f>
        <v>297</v>
      </c>
      <c r="D5" s="7"/>
    </row>
    <row r="6" spans="1:19">
      <c r="A6" s="1" t="s">
        <v>322</v>
      </c>
      <c r="B6" s="8">
        <f>AVERAGE(Deeqo1[],C2:C298)</f>
        <v>72.461453355481623</v>
      </c>
      <c r="D6" s="8"/>
    </row>
    <row r="7" spans="1:19">
      <c r="A7" s="1" t="s">
        <v>323</v>
      </c>
      <c r="B7" s="8">
        <f>AVERAGE(Deeqo1[],D2:D298)</f>
        <v>72.336868637873678</v>
      </c>
      <c r="D7" s="8"/>
    </row>
    <row r="8" spans="1:19">
      <c r="A8" s="1" t="s">
        <v>324</v>
      </c>
      <c r="B8" s="8">
        <f>AVERAGE(Deeqo1[],E2:E298)</f>
        <v>72.230805514950063</v>
      </c>
      <c r="D8" s="8"/>
    </row>
    <row r="9" spans="1:19">
      <c r="A9" s="1" t="s">
        <v>325</v>
      </c>
      <c r="B9" s="8">
        <f>AVERAGE([1]Clean_Data!F5:F301)</f>
        <v>71.247101449275348</v>
      </c>
      <c r="D9" s="8"/>
    </row>
    <row r="10" spans="1:19">
      <c r="A10" s="1" t="s">
        <v>326</v>
      </c>
      <c r="B10" s="8">
        <f>MIN(Deeqo1[],F2:F298)</f>
        <v>-10</v>
      </c>
      <c r="D10" s="8"/>
    </row>
    <row r="11" spans="1:19">
      <c r="A11" s="1" t="s">
        <v>327</v>
      </c>
      <c r="B11" s="8">
        <f>MAX(Deeqo1[],F2:F298)</f>
        <v>117</v>
      </c>
      <c r="D11" s="8"/>
    </row>
    <row r="14" spans="1:19" ht="17">
      <c r="A14" s="24" t="s">
        <v>328</v>
      </c>
      <c r="B14" s="25"/>
      <c r="C14" s="25"/>
      <c r="D14" s="25"/>
      <c r="E14" s="25"/>
    </row>
    <row r="15" spans="1:19">
      <c r="A15" s="9" t="s">
        <v>329</v>
      </c>
      <c r="B15" s="2">
        <f>COUNTIF(Deeqo1[Academic_Status],"Good Standing")</f>
        <v>205</v>
      </c>
    </row>
    <row r="16" spans="1:19">
      <c r="A16" s="9" t="s">
        <v>330</v>
      </c>
      <c r="B16" s="2">
        <f>COUNTIF(Deeqo1[Academic_Status],"At Risk")</f>
        <v>74</v>
      </c>
    </row>
    <row r="17" spans="1:11">
      <c r="A17" s="9" t="s">
        <v>331</v>
      </c>
      <c r="B17" s="2">
        <f>COUNTIF(Deeqo1[Academic_Status],"Unknown")</f>
        <v>16</v>
      </c>
    </row>
    <row r="18" spans="1:11">
      <c r="A18" s="9" t="s">
        <v>332</v>
      </c>
      <c r="B18" s="2">
        <f>AVERAGEIF(Deeqo1[Academic_Status],"Good Standing",Deeqo1[Final_Score])</f>
        <v>73.921758823529387</v>
      </c>
    </row>
    <row r="19" spans="1:11">
      <c r="A19" s="9" t="s">
        <v>333</v>
      </c>
      <c r="B19" s="2">
        <f>AVERAGEIF(Deeqo1[Academic_Status],"At Risk",Deeqo1[Final_Score])</f>
        <v>66.370959999999997</v>
      </c>
    </row>
    <row r="20" spans="1:11">
      <c r="A20" s="9" t="s">
        <v>334</v>
      </c>
      <c r="B20" s="2">
        <f>COUNTIF(Deeqo1[Final_Score],"&gt;=70")</f>
        <v>169</v>
      </c>
    </row>
    <row r="22" spans="1:11" ht="17">
      <c r="A22" s="24" t="s">
        <v>335</v>
      </c>
      <c r="B22" s="25"/>
      <c r="C22" s="25"/>
      <c r="D22" s="25"/>
      <c r="E22" s="25"/>
    </row>
    <row r="23" spans="1:11">
      <c r="A23" s="9" t="s">
        <v>336</v>
      </c>
      <c r="B23" s="2" t="str">
        <f>IF(AND(G2="At Risk",C2&lt;60),"Priority","Standard")</f>
        <v>Standard</v>
      </c>
      <c r="J23" s="2"/>
    </row>
    <row r="24" spans="1:11">
      <c r="A24" s="9" t="s">
        <v>337</v>
      </c>
      <c r="B24" s="2" t="str">
        <f>IF(OR(D2&lt;45,F2&lt;60),"At Risk",IF(D2&gt;=45,"High Score","High Attendance"))</f>
        <v>At Risk</v>
      </c>
    </row>
    <row r="25" spans="1:11">
      <c r="A25" s="9" t="s">
        <v>338</v>
      </c>
      <c r="B25" t="str">
        <f>IF(OR(D2&gt;=75,F2&gt;=80),"High Score/Attendance","Low")</f>
        <v>Low</v>
      </c>
    </row>
    <row r="26" spans="1:11">
      <c r="K26" t="s">
        <v>369</v>
      </c>
    </row>
    <row r="28" spans="1:11" ht="17">
      <c r="A28" s="24" t="s">
        <v>339</v>
      </c>
      <c r="B28" s="25"/>
      <c r="C28" s="25"/>
      <c r="D28" s="25"/>
      <c r="E28" s="25"/>
      <c r="F28" s="25"/>
    </row>
    <row r="29" spans="1:11">
      <c r="A29" s="6" t="s">
        <v>340</v>
      </c>
      <c r="B29" s="6" t="s">
        <v>341</v>
      </c>
      <c r="C29" s="6" t="s">
        <v>342</v>
      </c>
      <c r="D29" s="6" t="s">
        <v>343</v>
      </c>
    </row>
    <row r="30" spans="1:11">
      <c r="A30" s="2" t="s">
        <v>344</v>
      </c>
      <c r="B30" s="2" t="str">
        <f>TRIM(A30)</f>
        <v>computer science</v>
      </c>
      <c r="C30" s="2" t="str">
        <f>PROPER(A30)</f>
        <v xml:space="preserve">  Computer Science  </v>
      </c>
      <c r="D30" s="2" t="str">
        <f>UPPER(A30)</f>
        <v xml:space="preserve">  COMPUTER SCIENCE  </v>
      </c>
    </row>
    <row r="31" spans="1:11">
      <c r="A31" s="2" t="s">
        <v>31</v>
      </c>
      <c r="B31" s="2" t="str">
        <f>TRIM(A31)</f>
        <v>good standing</v>
      </c>
      <c r="C31" s="2" t="str">
        <f>PROPER(A31)</f>
        <v>Good Standing</v>
      </c>
      <c r="D31" s="2" t="str">
        <f>UPPER(A31)</f>
        <v>GOOD STANDING</v>
      </c>
    </row>
    <row r="32" spans="1:11">
      <c r="A32" s="2" t="s">
        <v>345</v>
      </c>
      <c r="B32" s="2" t="str">
        <f>TRIM(A32)</f>
        <v>public health</v>
      </c>
      <c r="C32" s="2" t="str">
        <f>PROPER(A32)</f>
        <v>Public Health</v>
      </c>
      <c r="D32" s="2" t="str">
        <f>UPPER(A32)</f>
        <v>PUBLIC HEALTH</v>
      </c>
    </row>
    <row r="34" spans="1:7" ht="15.5">
      <c r="A34" s="26" t="s">
        <v>370</v>
      </c>
      <c r="B34" s="27"/>
      <c r="C34" s="27"/>
      <c r="D34" s="27"/>
      <c r="E34" s="27"/>
      <c r="F34" s="27"/>
      <c r="G34" s="28"/>
    </row>
    <row r="35" spans="1:7">
      <c r="A35" s="19" t="s">
        <v>49</v>
      </c>
      <c r="B35" s="19" t="s">
        <v>30</v>
      </c>
      <c r="C35" s="19">
        <v>83.9</v>
      </c>
      <c r="D35" s="19">
        <v>96.6</v>
      </c>
      <c r="E35" s="19">
        <v>-2</v>
      </c>
      <c r="F35" s="19">
        <v>91.8</v>
      </c>
      <c r="G35" s="19" t="s">
        <v>26</v>
      </c>
    </row>
    <row r="36" spans="1:7">
      <c r="A36" s="2" t="s">
        <v>283</v>
      </c>
      <c r="B36" s="2" t="s">
        <v>111</v>
      </c>
      <c r="C36" s="2">
        <v>83.8</v>
      </c>
      <c r="D36" s="2">
        <v>79.2</v>
      </c>
      <c r="E36" s="2">
        <v>11.4</v>
      </c>
      <c r="F36" s="2">
        <v>49.5</v>
      </c>
      <c r="G36" s="2" t="s">
        <v>22</v>
      </c>
    </row>
    <row r="37" spans="1:7">
      <c r="A37" s="19" t="s">
        <v>282</v>
      </c>
      <c r="B37" s="19" t="s">
        <v>24</v>
      </c>
      <c r="C37" s="19">
        <v>82.6</v>
      </c>
      <c r="D37" s="19">
        <v>57.2</v>
      </c>
      <c r="E37" s="19">
        <v>22.2</v>
      </c>
      <c r="F37" s="19">
        <v>60.4</v>
      </c>
      <c r="G37" s="19" t="s">
        <v>22</v>
      </c>
    </row>
    <row r="38" spans="1:7">
      <c r="A38" s="2" t="s">
        <v>138</v>
      </c>
      <c r="B38" s="2" t="s">
        <v>46</v>
      </c>
      <c r="C38" s="2">
        <v>85.5</v>
      </c>
      <c r="D38" s="2">
        <v>64.599999999999994</v>
      </c>
      <c r="E38" s="2">
        <v>29.6</v>
      </c>
      <c r="F38" s="2">
        <v>89.8</v>
      </c>
      <c r="G38" s="2" t="s">
        <v>26</v>
      </c>
    </row>
    <row r="39" spans="1:7">
      <c r="A39" s="19" t="s">
        <v>317</v>
      </c>
      <c r="B39" s="19" t="s">
        <v>34</v>
      </c>
      <c r="C39" s="19">
        <v>82</v>
      </c>
      <c r="D39" s="19">
        <v>68.8</v>
      </c>
      <c r="E39" s="19">
        <v>31.2</v>
      </c>
      <c r="F39" s="19">
        <v>85.3</v>
      </c>
      <c r="G39" s="19" t="s">
        <v>26</v>
      </c>
    </row>
    <row r="40" spans="1:7">
      <c r="A40" s="2" t="s">
        <v>93</v>
      </c>
      <c r="B40" s="2" t="s">
        <v>34</v>
      </c>
      <c r="C40" s="2">
        <v>84.6</v>
      </c>
      <c r="D40" s="2">
        <v>80.5</v>
      </c>
      <c r="E40" s="2">
        <v>32.9</v>
      </c>
      <c r="F40" s="2">
        <v>36.799999999999997</v>
      </c>
      <c r="G40" s="2" t="s">
        <v>22</v>
      </c>
    </row>
    <row r="41" spans="1:7">
      <c r="A41" s="19" t="s">
        <v>105</v>
      </c>
      <c r="B41" s="19" t="s">
        <v>30</v>
      </c>
      <c r="C41" s="19">
        <v>82.5</v>
      </c>
      <c r="D41" s="19">
        <v>60.3</v>
      </c>
      <c r="E41" s="19">
        <v>33.200000000000003</v>
      </c>
      <c r="F41" s="19">
        <v>85.2</v>
      </c>
      <c r="G41" s="19" t="s">
        <v>22</v>
      </c>
    </row>
    <row r="42" spans="1:7">
      <c r="A42" s="2" t="s">
        <v>87</v>
      </c>
      <c r="B42" s="2" t="s">
        <v>24</v>
      </c>
      <c r="C42" s="2">
        <v>84.4</v>
      </c>
      <c r="D42" s="2">
        <v>85.3</v>
      </c>
      <c r="E42" s="2">
        <v>33.5</v>
      </c>
      <c r="F42" s="2">
        <v>100</v>
      </c>
      <c r="G42" s="2" t="s">
        <v>26</v>
      </c>
    </row>
    <row r="43" spans="1:7">
      <c r="A43" s="19" t="s">
        <v>226</v>
      </c>
      <c r="B43" s="19" t="s">
        <v>30</v>
      </c>
      <c r="C43" s="19">
        <v>68.900000000000006</v>
      </c>
      <c r="D43" s="19">
        <v>85.3</v>
      </c>
      <c r="E43" s="19">
        <v>38.6</v>
      </c>
      <c r="F43" s="19">
        <v>71</v>
      </c>
      <c r="G43" s="19" t="s">
        <v>22</v>
      </c>
    </row>
    <row r="46" spans="1:7" s="12" customFormat="1">
      <c r="A46" s="29" t="s">
        <v>371</v>
      </c>
      <c r="B46" s="29"/>
      <c r="C46" s="29"/>
      <c r="D46" s="29"/>
      <c r="E46" s="29"/>
      <c r="F46" s="29"/>
      <c r="G46" s="29"/>
    </row>
    <row r="47" spans="1:7">
      <c r="A47" s="19" t="s">
        <v>254</v>
      </c>
      <c r="B47" s="19" t="s">
        <v>30</v>
      </c>
      <c r="C47" s="19">
        <v>72.3</v>
      </c>
      <c r="D47" s="19">
        <v>55.5</v>
      </c>
      <c r="E47" s="19">
        <v>117</v>
      </c>
      <c r="F47" s="19">
        <v>80</v>
      </c>
      <c r="G47" s="19" t="s">
        <v>26</v>
      </c>
    </row>
    <row r="48" spans="1:7">
      <c r="A48" s="2" t="s">
        <v>36</v>
      </c>
      <c r="B48" s="2" t="s">
        <v>30</v>
      </c>
      <c r="C48" s="2">
        <v>77.900000000000006</v>
      </c>
      <c r="D48" s="2">
        <v>65.8</v>
      </c>
      <c r="E48" s="2">
        <v>100</v>
      </c>
      <c r="F48" s="2">
        <v>91</v>
      </c>
      <c r="G48" s="2" t="s">
        <v>26</v>
      </c>
    </row>
    <row r="49" spans="1:7">
      <c r="A49" s="19" t="s">
        <v>102</v>
      </c>
      <c r="B49" s="19" t="s">
        <v>91</v>
      </c>
      <c r="C49" s="19">
        <v>88.7</v>
      </c>
      <c r="D49" s="19">
        <v>85.3</v>
      </c>
      <c r="E49" s="19">
        <v>100</v>
      </c>
      <c r="F49" s="19">
        <v>69.400000000000006</v>
      </c>
      <c r="G49" s="19" t="s">
        <v>26</v>
      </c>
    </row>
    <row r="50" spans="1:7">
      <c r="A50" s="2" t="s">
        <v>148</v>
      </c>
      <c r="B50" s="2" t="s">
        <v>46</v>
      </c>
      <c r="C50" s="2">
        <v>73.7</v>
      </c>
      <c r="D50" s="2">
        <v>76.900000000000006</v>
      </c>
      <c r="E50" s="2">
        <v>100</v>
      </c>
      <c r="F50" s="2">
        <v>56.2</v>
      </c>
      <c r="G50" s="2" t="s">
        <v>26</v>
      </c>
    </row>
    <row r="51" spans="1:7">
      <c r="A51" s="19" t="s">
        <v>240</v>
      </c>
      <c r="B51" s="19" t="s">
        <v>34</v>
      </c>
      <c r="C51" s="19">
        <v>90.1</v>
      </c>
      <c r="D51" s="19">
        <v>69.8</v>
      </c>
      <c r="E51" s="19">
        <v>100</v>
      </c>
      <c r="F51" s="19">
        <v>96.1</v>
      </c>
      <c r="G51" s="19" t="s">
        <v>26</v>
      </c>
    </row>
    <row r="52" spans="1:7">
      <c r="A52" s="2" t="s">
        <v>260</v>
      </c>
      <c r="B52" s="2" t="s">
        <v>30</v>
      </c>
      <c r="C52" s="2">
        <v>80.7</v>
      </c>
      <c r="D52" s="2">
        <v>71.3</v>
      </c>
      <c r="E52" s="2">
        <v>100</v>
      </c>
      <c r="F52" s="2">
        <v>67.599999999999994</v>
      </c>
      <c r="G52" s="2" t="s">
        <v>26</v>
      </c>
    </row>
    <row r="53" spans="1:7">
      <c r="A53" s="19" t="s">
        <v>281</v>
      </c>
      <c r="B53" s="19" t="s">
        <v>34</v>
      </c>
      <c r="C53" s="19">
        <v>84.6</v>
      </c>
      <c r="D53" s="19">
        <v>79.8</v>
      </c>
      <c r="E53" s="19">
        <v>100</v>
      </c>
      <c r="F53" s="19">
        <v>64.2</v>
      </c>
      <c r="G53" s="19" t="s">
        <v>26</v>
      </c>
    </row>
    <row r="54" spans="1:7">
      <c r="A54" s="2" t="s">
        <v>285</v>
      </c>
      <c r="B54" s="2" t="s">
        <v>24</v>
      </c>
      <c r="C54" s="2">
        <v>75.8</v>
      </c>
      <c r="D54" s="2">
        <v>69.8</v>
      </c>
      <c r="E54" s="2">
        <v>100</v>
      </c>
      <c r="F54" s="2">
        <v>91.7</v>
      </c>
      <c r="G54" s="2" t="s">
        <v>26</v>
      </c>
    </row>
    <row r="55" spans="1:7">
      <c r="A55" s="19" t="s">
        <v>308</v>
      </c>
      <c r="B55" s="19" t="s">
        <v>30</v>
      </c>
      <c r="C55" s="19">
        <v>84.2</v>
      </c>
      <c r="D55" s="19">
        <v>61.6</v>
      </c>
      <c r="E55" s="19">
        <v>100</v>
      </c>
      <c r="F55" s="19">
        <v>77.5</v>
      </c>
      <c r="G55" s="19" t="s">
        <v>26</v>
      </c>
    </row>
    <row r="56" spans="1:7">
      <c r="A56" s="2" t="s">
        <v>218</v>
      </c>
      <c r="B56" s="2" t="s">
        <v>30</v>
      </c>
      <c r="C56" s="2">
        <v>58.7</v>
      </c>
      <c r="D56" s="2">
        <v>61.3</v>
      </c>
      <c r="E56" s="2">
        <v>99.6</v>
      </c>
      <c r="F56" s="2">
        <v>55.9</v>
      </c>
      <c r="G56" s="2" t="s">
        <v>22</v>
      </c>
    </row>
  </sheetData>
  <mergeCells count="7">
    <mergeCell ref="A1:S1"/>
    <mergeCell ref="A3:E3"/>
    <mergeCell ref="A34:G34"/>
    <mergeCell ref="A46:G46"/>
    <mergeCell ref="A14:E14"/>
    <mergeCell ref="A22:E22"/>
    <mergeCell ref="A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B3A2E-DA4A-4437-B8D6-19F64A5D11B7}">
  <dimension ref="A3:B53"/>
  <sheetViews>
    <sheetView workbookViewId="0">
      <selection activeCell="F45" sqref="F45"/>
    </sheetView>
  </sheetViews>
  <sheetFormatPr defaultRowHeight="14.5"/>
  <cols>
    <col min="1" max="1" width="13.08984375" bestFit="1" customWidth="1"/>
    <col min="2" max="2" width="18.1796875" bestFit="1" customWidth="1"/>
    <col min="3" max="221" width="15.26953125" bestFit="1" customWidth="1"/>
    <col min="222" max="222" width="10.7265625" bestFit="1" customWidth="1"/>
  </cols>
  <sheetData>
    <row r="3" spans="1:2">
      <c r="A3" s="11" t="s">
        <v>346</v>
      </c>
      <c r="B3" t="s">
        <v>349</v>
      </c>
    </row>
    <row r="4" spans="1:2">
      <c r="A4" s="12" t="s">
        <v>39</v>
      </c>
      <c r="B4">
        <v>1</v>
      </c>
    </row>
    <row r="5" spans="1:2">
      <c r="A5" s="12" t="s">
        <v>24</v>
      </c>
      <c r="B5">
        <v>59</v>
      </c>
    </row>
    <row r="6" spans="1:2">
      <c r="A6" s="12" t="s">
        <v>30</v>
      </c>
      <c r="B6">
        <v>57</v>
      </c>
    </row>
    <row r="7" spans="1:2">
      <c r="A7" s="12" t="s">
        <v>182</v>
      </c>
      <c r="B7">
        <v>1</v>
      </c>
    </row>
    <row r="8" spans="1:2">
      <c r="A8" s="12" t="s">
        <v>34</v>
      </c>
      <c r="B8">
        <v>58</v>
      </c>
    </row>
    <row r="9" spans="1:2">
      <c r="A9" s="12" t="s">
        <v>46</v>
      </c>
      <c r="B9">
        <v>25</v>
      </c>
    </row>
    <row r="10" spans="1:2">
      <c r="A10" s="12" t="s">
        <v>28</v>
      </c>
      <c r="B10">
        <v>37</v>
      </c>
    </row>
    <row r="11" spans="1:2">
      <c r="A11" s="12" t="s">
        <v>206</v>
      </c>
      <c r="B11">
        <v>1</v>
      </c>
    </row>
    <row r="12" spans="1:2">
      <c r="A12" s="12" t="s">
        <v>21</v>
      </c>
      <c r="B12">
        <v>41</v>
      </c>
    </row>
    <row r="13" spans="1:2">
      <c r="A13" s="12" t="s">
        <v>91</v>
      </c>
      <c r="B13">
        <v>17</v>
      </c>
    </row>
    <row r="14" spans="1:2">
      <c r="A14" s="12" t="s">
        <v>347</v>
      </c>
    </row>
    <row r="15" spans="1:2">
      <c r="A15" s="12" t="s">
        <v>348</v>
      </c>
      <c r="B15">
        <v>297</v>
      </c>
    </row>
    <row r="17" spans="1:2">
      <c r="A17" s="11" t="s">
        <v>346</v>
      </c>
      <c r="B17" t="s">
        <v>350</v>
      </c>
    </row>
    <row r="18" spans="1:2">
      <c r="A18" s="12" t="s">
        <v>39</v>
      </c>
      <c r="B18">
        <v>1</v>
      </c>
    </row>
    <row r="19" spans="1:2">
      <c r="A19" s="12" t="s">
        <v>207</v>
      </c>
      <c r="B19">
        <v>1</v>
      </c>
    </row>
    <row r="20" spans="1:2">
      <c r="A20" s="12" t="s">
        <v>22</v>
      </c>
      <c r="B20">
        <v>74</v>
      </c>
    </row>
    <row r="21" spans="1:2">
      <c r="A21" s="12" t="s">
        <v>26</v>
      </c>
      <c r="B21">
        <v>205</v>
      </c>
    </row>
    <row r="22" spans="1:2">
      <c r="A22" s="12" t="s">
        <v>91</v>
      </c>
      <c r="B22">
        <v>16</v>
      </c>
    </row>
    <row r="23" spans="1:2">
      <c r="A23" s="12" t="s">
        <v>348</v>
      </c>
      <c r="B23">
        <v>297</v>
      </c>
    </row>
    <row r="25" spans="1:2">
      <c r="A25" s="11" t="s">
        <v>346</v>
      </c>
      <c r="B25" t="s">
        <v>351</v>
      </c>
    </row>
    <row r="26" spans="1:2">
      <c r="A26" s="12" t="s">
        <v>39</v>
      </c>
      <c r="B26">
        <v>58.7</v>
      </c>
    </row>
    <row r="27" spans="1:2">
      <c r="A27" s="12" t="s">
        <v>24</v>
      </c>
      <c r="B27">
        <v>4691.9000000000005</v>
      </c>
    </row>
    <row r="28" spans="1:2">
      <c r="A28" s="12" t="s">
        <v>30</v>
      </c>
      <c r="B28">
        <v>4403</v>
      </c>
    </row>
    <row r="29" spans="1:2">
      <c r="A29" s="12" t="s">
        <v>182</v>
      </c>
      <c r="B29">
        <v>78.3</v>
      </c>
    </row>
    <row r="30" spans="1:2">
      <c r="A30" s="12" t="s">
        <v>34</v>
      </c>
      <c r="B30">
        <v>4759.4999999999991</v>
      </c>
    </row>
    <row r="31" spans="1:2">
      <c r="A31" s="12" t="s">
        <v>46</v>
      </c>
      <c r="B31">
        <v>1862.6</v>
      </c>
    </row>
    <row r="32" spans="1:2">
      <c r="A32" s="12" t="s">
        <v>28</v>
      </c>
      <c r="B32">
        <v>3009.9</v>
      </c>
    </row>
    <row r="33" spans="1:2">
      <c r="A33" s="12" t="s">
        <v>206</v>
      </c>
      <c r="B33">
        <v>59.4</v>
      </c>
    </row>
    <row r="34" spans="1:2">
      <c r="A34" s="12" t="s">
        <v>21</v>
      </c>
      <c r="B34">
        <v>3149.0999999999995</v>
      </c>
    </row>
    <row r="35" spans="1:2">
      <c r="A35" s="12" t="s">
        <v>91</v>
      </c>
      <c r="B35">
        <v>1492.9</v>
      </c>
    </row>
    <row r="36" spans="1:2">
      <c r="A36" s="12" t="s">
        <v>348</v>
      </c>
      <c r="B36">
        <v>23565.3</v>
      </c>
    </row>
    <row r="39" spans="1:2">
      <c r="A39" s="11" t="s">
        <v>19</v>
      </c>
      <c r="B39" t="s">
        <v>353</v>
      </c>
    </row>
    <row r="41" spans="1:2">
      <c r="A41" s="11" t="s">
        <v>346</v>
      </c>
      <c r="B41" t="s">
        <v>352</v>
      </c>
    </row>
    <row r="42" spans="1:2">
      <c r="A42" s="12" t="s">
        <v>39</v>
      </c>
      <c r="B42">
        <v>67.2</v>
      </c>
    </row>
    <row r="43" spans="1:2">
      <c r="A43" s="12" t="s">
        <v>24</v>
      </c>
      <c r="B43">
        <v>3861.599999999999</v>
      </c>
    </row>
    <row r="44" spans="1:2">
      <c r="A44" s="12" t="s">
        <v>30</v>
      </c>
      <c r="B44">
        <v>3889.6999999999994</v>
      </c>
    </row>
    <row r="45" spans="1:2">
      <c r="A45" s="12" t="s">
        <v>182</v>
      </c>
      <c r="B45">
        <v>49</v>
      </c>
    </row>
    <row r="46" spans="1:2">
      <c r="A46" s="12" t="s">
        <v>34</v>
      </c>
      <c r="B46">
        <v>3940.4999999999995</v>
      </c>
    </row>
    <row r="47" spans="1:2">
      <c r="A47" s="12" t="s">
        <v>46</v>
      </c>
      <c r="B47">
        <v>1626.8000000000004</v>
      </c>
    </row>
    <row r="48" spans="1:2">
      <c r="A48" s="12" t="s">
        <v>28</v>
      </c>
      <c r="B48">
        <v>2556.5999999999995</v>
      </c>
    </row>
    <row r="49" spans="1:2">
      <c r="A49" s="12" t="s">
        <v>206</v>
      </c>
      <c r="B49">
        <v>79.7</v>
      </c>
    </row>
    <row r="50" spans="1:2">
      <c r="A50" s="12" t="s">
        <v>21</v>
      </c>
      <c r="B50">
        <v>2795.7000000000007</v>
      </c>
    </row>
    <row r="51" spans="1:2">
      <c r="A51" s="12" t="s">
        <v>91</v>
      </c>
      <c r="B51">
        <v>1166.6999999999998</v>
      </c>
    </row>
    <row r="52" spans="1:2">
      <c r="A52" s="12" t="s">
        <v>347</v>
      </c>
    </row>
    <row r="53" spans="1:2">
      <c r="A53" s="12" t="s">
        <v>348</v>
      </c>
      <c r="B53">
        <v>20033.5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65C3-2A03-4AEF-BE6E-4B8960AA6832}">
  <dimension ref="A1:T35"/>
  <sheetViews>
    <sheetView topLeftCell="C1" zoomScaleNormal="100" workbookViewId="0">
      <pane ySplit="3" topLeftCell="A26" activePane="bottomLeft" state="frozen"/>
      <selection pane="bottomLeft" activeCell="D8" sqref="D8"/>
    </sheetView>
  </sheetViews>
  <sheetFormatPr defaultRowHeight="14.5"/>
  <cols>
    <col min="2" max="2" width="21.08984375" bestFit="1" customWidth="1"/>
    <col min="3" max="3" width="18.1796875" bestFit="1" customWidth="1"/>
    <col min="5" max="5" width="8.7265625" customWidth="1"/>
    <col min="6" max="6" width="13.08984375" bestFit="1" customWidth="1"/>
    <col min="7" max="7" width="24.08984375" bestFit="1" customWidth="1"/>
  </cols>
  <sheetData>
    <row r="1" spans="1:20">
      <c r="A1" s="30" t="s">
        <v>372</v>
      </c>
      <c r="B1" s="31"/>
      <c r="C1" s="31"/>
      <c r="D1" s="31"/>
      <c r="E1" s="31"/>
      <c r="F1" s="31"/>
      <c r="G1" s="31"/>
      <c r="H1" s="31"/>
      <c r="I1" s="31"/>
      <c r="J1" s="31"/>
      <c r="K1" s="31"/>
      <c r="L1" s="31"/>
      <c r="M1" s="31"/>
      <c r="N1" s="31"/>
      <c r="O1" s="31"/>
      <c r="P1" s="31"/>
      <c r="Q1" s="31"/>
      <c r="R1" s="31"/>
      <c r="S1" s="31"/>
      <c r="T1" s="31"/>
    </row>
    <row r="2" spans="1:20" ht="11.5" customHeight="1">
      <c r="A2" s="31"/>
      <c r="B2" s="31"/>
      <c r="C2" s="31"/>
      <c r="D2" s="31"/>
      <c r="E2" s="31"/>
      <c r="F2" s="31"/>
      <c r="G2" s="31"/>
      <c r="H2" s="31"/>
      <c r="I2" s="31"/>
      <c r="J2" s="31"/>
      <c r="K2" s="31"/>
      <c r="L2" s="31"/>
      <c r="M2" s="31"/>
      <c r="N2" s="31"/>
      <c r="O2" s="31"/>
      <c r="P2" s="31"/>
      <c r="Q2" s="31"/>
      <c r="R2" s="31"/>
      <c r="S2" s="31"/>
      <c r="T2" s="31"/>
    </row>
    <row r="3" spans="1:20" s="20" customFormat="1" ht="14.5" customHeight="1">
      <c r="A3" s="20" t="s">
        <v>374</v>
      </c>
      <c r="C3" s="20" t="s">
        <v>373</v>
      </c>
      <c r="F3" s="20" t="s">
        <v>375</v>
      </c>
    </row>
    <row r="4" spans="1:20">
      <c r="A4" s="20"/>
      <c r="B4" s="20"/>
      <c r="C4" s="20"/>
      <c r="D4" s="20"/>
      <c r="E4" s="20"/>
      <c r="F4" s="20"/>
      <c r="G4" s="20"/>
      <c r="H4" s="20"/>
      <c r="I4" s="20"/>
      <c r="J4" s="20"/>
      <c r="K4" s="20"/>
      <c r="L4" s="20"/>
      <c r="M4" s="20"/>
      <c r="N4" s="20"/>
      <c r="O4" s="20"/>
      <c r="P4" s="20"/>
      <c r="Q4" s="20"/>
      <c r="R4" s="20"/>
      <c r="S4" s="20"/>
      <c r="T4" s="20"/>
    </row>
    <row r="5" spans="1:20">
      <c r="I5" s="13"/>
    </row>
    <row r="6" spans="1:20">
      <c r="I6" s="13"/>
    </row>
    <row r="10" spans="1:20">
      <c r="F10" s="11" t="s">
        <v>346</v>
      </c>
      <c r="G10" t="s">
        <v>354</v>
      </c>
    </row>
    <row r="11" spans="1:20">
      <c r="F11" s="12" t="s">
        <v>207</v>
      </c>
      <c r="G11">
        <v>1</v>
      </c>
    </row>
    <row r="12" spans="1:20">
      <c r="F12" s="12" t="s">
        <v>22</v>
      </c>
      <c r="G12">
        <v>16</v>
      </c>
    </row>
    <row r="13" spans="1:20">
      <c r="B13" s="11" t="s">
        <v>346</v>
      </c>
      <c r="C13" t="s">
        <v>349</v>
      </c>
      <c r="F13" s="12" t="s">
        <v>26</v>
      </c>
      <c r="G13">
        <v>39</v>
      </c>
    </row>
    <row r="14" spans="1:20">
      <c r="B14" s="12" t="s">
        <v>39</v>
      </c>
      <c r="C14">
        <v>1</v>
      </c>
      <c r="F14" s="12" t="s">
        <v>91</v>
      </c>
      <c r="G14">
        <v>3</v>
      </c>
    </row>
    <row r="15" spans="1:20">
      <c r="B15" s="12" t="s">
        <v>24</v>
      </c>
      <c r="C15">
        <v>59</v>
      </c>
      <c r="F15" s="12" t="s">
        <v>348</v>
      </c>
      <c r="G15">
        <v>59</v>
      </c>
    </row>
    <row r="16" spans="1:20">
      <c r="B16" s="12" t="s">
        <v>30</v>
      </c>
      <c r="C16">
        <v>57</v>
      </c>
    </row>
    <row r="17" spans="2:3">
      <c r="B17" s="12" t="s">
        <v>182</v>
      </c>
      <c r="C17">
        <v>1</v>
      </c>
    </row>
    <row r="18" spans="2:3">
      <c r="B18" s="12" t="s">
        <v>34</v>
      </c>
      <c r="C18">
        <v>58</v>
      </c>
    </row>
    <row r="19" spans="2:3">
      <c r="B19" s="12" t="s">
        <v>46</v>
      </c>
      <c r="C19">
        <v>25</v>
      </c>
    </row>
    <row r="20" spans="2:3">
      <c r="B20" s="12" t="s">
        <v>28</v>
      </c>
      <c r="C20">
        <v>37</v>
      </c>
    </row>
    <row r="21" spans="2:3">
      <c r="B21" s="12" t="s">
        <v>206</v>
      </c>
      <c r="C21">
        <v>1</v>
      </c>
    </row>
    <row r="22" spans="2:3">
      <c r="B22" s="12" t="s">
        <v>21</v>
      </c>
      <c r="C22">
        <v>41</v>
      </c>
    </row>
    <row r="23" spans="2:3">
      <c r="B23" s="12" t="s">
        <v>91</v>
      </c>
      <c r="C23">
        <v>17</v>
      </c>
    </row>
    <row r="24" spans="2:3">
      <c r="B24" s="12" t="s">
        <v>348</v>
      </c>
      <c r="C24">
        <v>297</v>
      </c>
    </row>
    <row r="29" spans="2:3">
      <c r="B29" s="11" t="s">
        <v>346</v>
      </c>
      <c r="C29" t="s">
        <v>350</v>
      </c>
    </row>
    <row r="30" spans="2:3">
      <c r="B30" s="12" t="s">
        <v>39</v>
      </c>
      <c r="C30">
        <v>1</v>
      </c>
    </row>
    <row r="31" spans="2:3">
      <c r="B31" s="12" t="s">
        <v>207</v>
      </c>
      <c r="C31">
        <v>1</v>
      </c>
    </row>
    <row r="32" spans="2:3">
      <c r="B32" s="12" t="s">
        <v>22</v>
      </c>
      <c r="C32">
        <v>74</v>
      </c>
    </row>
    <row r="33" spans="2:3">
      <c r="B33" s="12" t="s">
        <v>26</v>
      </c>
      <c r="C33">
        <v>205</v>
      </c>
    </row>
    <row r="34" spans="2:3">
      <c r="B34" s="12" t="s">
        <v>91</v>
      </c>
      <c r="C34">
        <v>16</v>
      </c>
    </row>
    <row r="35" spans="2:3">
      <c r="B35" s="12" t="s">
        <v>348</v>
      </c>
      <c r="C35">
        <v>297</v>
      </c>
    </row>
  </sheetData>
  <mergeCells count="1">
    <mergeCell ref="A1:T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9A29-9501-4C9A-ACC0-4A42A4C2FC89}">
  <dimension ref="B11:N24"/>
  <sheetViews>
    <sheetView tabSelected="1" zoomScale="92" zoomScaleNormal="92" workbookViewId="0">
      <selection activeCell="N13" sqref="N13"/>
    </sheetView>
  </sheetViews>
  <sheetFormatPr defaultRowHeight="14.5"/>
  <cols>
    <col min="2" max="2" width="21.08984375" bestFit="1" customWidth="1"/>
    <col min="3" max="3" width="18.1796875" bestFit="1" customWidth="1"/>
    <col min="7" max="7" width="13.08984375" bestFit="1" customWidth="1"/>
    <col min="8" max="8" width="18.1796875" bestFit="1" customWidth="1"/>
    <col min="10" max="10" width="21.08984375" bestFit="1" customWidth="1"/>
    <col min="11" max="11" width="24.54296875" bestFit="1" customWidth="1"/>
  </cols>
  <sheetData>
    <row r="11" spans="2:14">
      <c r="G11" s="21"/>
      <c r="J11" s="11" t="s">
        <v>19</v>
      </c>
      <c r="K11" t="s">
        <v>353</v>
      </c>
    </row>
    <row r="12" spans="2:14">
      <c r="L12" t="s">
        <v>373</v>
      </c>
    </row>
    <row r="13" spans="2:14">
      <c r="B13" s="11" t="s">
        <v>346</v>
      </c>
      <c r="C13" t="s">
        <v>349</v>
      </c>
      <c r="F13" s="22"/>
      <c r="G13" s="11" t="s">
        <v>346</v>
      </c>
      <c r="H13" t="s">
        <v>350</v>
      </c>
      <c r="J13" s="11" t="s">
        <v>346</v>
      </c>
      <c r="K13" t="s">
        <v>351</v>
      </c>
      <c r="N13" s="22"/>
    </row>
    <row r="14" spans="2:14">
      <c r="B14" s="12" t="s">
        <v>39</v>
      </c>
      <c r="C14">
        <v>1</v>
      </c>
      <c r="G14" s="12" t="s">
        <v>39</v>
      </c>
      <c r="H14">
        <v>1</v>
      </c>
      <c r="J14" s="12" t="s">
        <v>39</v>
      </c>
      <c r="K14">
        <v>58.7</v>
      </c>
    </row>
    <row r="15" spans="2:14">
      <c r="B15" s="12" t="s">
        <v>24</v>
      </c>
      <c r="C15">
        <v>59</v>
      </c>
      <c r="G15" s="12" t="s">
        <v>207</v>
      </c>
      <c r="H15">
        <v>1</v>
      </c>
      <c r="J15" s="12" t="s">
        <v>24</v>
      </c>
      <c r="K15">
        <v>4691.9000000000005</v>
      </c>
    </row>
    <row r="16" spans="2:14">
      <c r="B16" s="12" t="s">
        <v>30</v>
      </c>
      <c r="C16">
        <v>57</v>
      </c>
      <c r="G16" s="12" t="s">
        <v>22</v>
      </c>
      <c r="H16">
        <v>74</v>
      </c>
      <c r="J16" s="12" t="s">
        <v>30</v>
      </c>
      <c r="K16">
        <v>4403</v>
      </c>
    </row>
    <row r="17" spans="2:11">
      <c r="B17" s="12" t="s">
        <v>182</v>
      </c>
      <c r="C17">
        <v>1</v>
      </c>
      <c r="G17" s="12" t="s">
        <v>26</v>
      </c>
      <c r="H17">
        <v>205</v>
      </c>
      <c r="J17" s="12" t="s">
        <v>182</v>
      </c>
      <c r="K17">
        <v>78.3</v>
      </c>
    </row>
    <row r="18" spans="2:11">
      <c r="B18" s="12" t="s">
        <v>34</v>
      </c>
      <c r="C18">
        <v>58</v>
      </c>
      <c r="G18" s="12" t="s">
        <v>91</v>
      </c>
      <c r="H18">
        <v>16</v>
      </c>
      <c r="J18" s="12" t="s">
        <v>34</v>
      </c>
      <c r="K18">
        <v>4759.4999999999991</v>
      </c>
    </row>
    <row r="19" spans="2:11">
      <c r="B19" s="12" t="s">
        <v>46</v>
      </c>
      <c r="C19">
        <v>25</v>
      </c>
      <c r="G19" s="12" t="s">
        <v>348</v>
      </c>
      <c r="H19">
        <v>297</v>
      </c>
      <c r="J19" s="12" t="s">
        <v>46</v>
      </c>
      <c r="K19">
        <v>1862.6</v>
      </c>
    </row>
    <row r="20" spans="2:11">
      <c r="B20" s="12" t="s">
        <v>28</v>
      </c>
      <c r="C20">
        <v>37</v>
      </c>
      <c r="J20" s="12" t="s">
        <v>28</v>
      </c>
      <c r="K20">
        <v>3009.9</v>
      </c>
    </row>
    <row r="21" spans="2:11">
      <c r="B21" s="12" t="s">
        <v>206</v>
      </c>
      <c r="C21">
        <v>1</v>
      </c>
      <c r="J21" s="12" t="s">
        <v>206</v>
      </c>
      <c r="K21">
        <v>59.4</v>
      </c>
    </row>
    <row r="22" spans="2:11">
      <c r="B22" s="12" t="s">
        <v>21</v>
      </c>
      <c r="C22">
        <v>41</v>
      </c>
      <c r="J22" s="12" t="s">
        <v>21</v>
      </c>
      <c r="K22">
        <v>3149.0999999999995</v>
      </c>
    </row>
    <row r="23" spans="2:11">
      <c r="B23" s="12" t="s">
        <v>91</v>
      </c>
      <c r="C23">
        <v>17</v>
      </c>
      <c r="J23" s="12" t="s">
        <v>91</v>
      </c>
      <c r="K23">
        <v>1492.9</v>
      </c>
    </row>
    <row r="24" spans="2:11">
      <c r="B24" s="12" t="s">
        <v>348</v>
      </c>
      <c r="C24">
        <v>297</v>
      </c>
      <c r="J24" s="12" t="s">
        <v>348</v>
      </c>
      <c r="K24">
        <v>23565.3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BD9E-392C-4305-B76B-EC1582374479}">
  <sheetPr>
    <tabColor rgb="FF00B050"/>
  </sheetPr>
  <dimension ref="A1:O29"/>
  <sheetViews>
    <sheetView workbookViewId="0">
      <selection activeCell="B15" sqref="B15"/>
    </sheetView>
  </sheetViews>
  <sheetFormatPr defaultRowHeight="14.5"/>
  <cols>
    <col min="1" max="1" width="15.81640625" bestFit="1" customWidth="1"/>
    <col min="2" max="2" width="47.08984375" customWidth="1"/>
  </cols>
  <sheetData>
    <row r="1" spans="1:15" ht="28.5">
      <c r="A1" s="32" t="s">
        <v>0</v>
      </c>
      <c r="B1" s="32"/>
      <c r="C1" s="32"/>
      <c r="D1" s="32"/>
      <c r="E1" s="32"/>
      <c r="F1" s="32"/>
      <c r="G1" s="32"/>
      <c r="H1" s="32"/>
      <c r="I1" s="32"/>
      <c r="J1" s="32"/>
      <c r="K1" s="32"/>
      <c r="L1" s="32"/>
      <c r="M1" s="32"/>
      <c r="N1" s="32"/>
      <c r="O1" s="32"/>
    </row>
    <row r="2" spans="1:15">
      <c r="A2" s="3"/>
      <c r="B2" s="2"/>
    </row>
    <row r="3" spans="1:15">
      <c r="A3" s="1" t="s">
        <v>1</v>
      </c>
      <c r="B3" s="2" t="s">
        <v>376</v>
      </c>
    </row>
    <row r="4" spans="1:15">
      <c r="A4" s="1" t="s">
        <v>2</v>
      </c>
      <c r="B4" s="2" t="s">
        <v>3</v>
      </c>
    </row>
    <row r="5" spans="1:15">
      <c r="A5" s="1" t="s">
        <v>4</v>
      </c>
      <c r="B5" s="2" t="s">
        <v>5</v>
      </c>
    </row>
    <row r="6" spans="1:15">
      <c r="A6" s="1" t="s">
        <v>6</v>
      </c>
      <c r="B6" s="2" t="s">
        <v>7</v>
      </c>
    </row>
    <row r="7" spans="1:15">
      <c r="A7" s="1" t="s">
        <v>8</v>
      </c>
      <c r="B7" s="2">
        <v>300</v>
      </c>
    </row>
    <row r="8" spans="1:15">
      <c r="A8" s="1" t="s">
        <v>9</v>
      </c>
      <c r="B8" s="2">
        <v>7</v>
      </c>
    </row>
    <row r="9" spans="1:15">
      <c r="A9" s="1" t="s">
        <v>10</v>
      </c>
      <c r="B9" s="2">
        <v>297</v>
      </c>
    </row>
    <row r="10" spans="1:15">
      <c r="A10" s="1" t="s">
        <v>11</v>
      </c>
      <c r="B10" s="2">
        <v>7</v>
      </c>
    </row>
    <row r="11" spans="1:15">
      <c r="A11" s="4" t="s">
        <v>378</v>
      </c>
      <c r="B11" s="5">
        <v>15</v>
      </c>
    </row>
    <row r="12" spans="1:15">
      <c r="A12" s="4" t="s">
        <v>12</v>
      </c>
      <c r="B12" s="5">
        <v>3</v>
      </c>
    </row>
    <row r="13" spans="1:15">
      <c r="A13" s="4" t="s">
        <v>377</v>
      </c>
      <c r="B13" s="33">
        <v>16</v>
      </c>
    </row>
    <row r="15" spans="1:15">
      <c r="A15" t="e">
        <f>IF(C2="",AVERAGE($C$2:$C$298),C2)</f>
        <v>#DIV/0!</v>
      </c>
    </row>
    <row r="17" spans="1:3" ht="23.5">
      <c r="A17" s="16" t="s">
        <v>357</v>
      </c>
    </row>
    <row r="18" spans="1:3">
      <c r="A18" s="17"/>
    </row>
    <row r="19" spans="1:3">
      <c r="A19" s="18" t="s">
        <v>358</v>
      </c>
      <c r="C19" t="s">
        <v>367</v>
      </c>
    </row>
    <row r="20" spans="1:3">
      <c r="A20" s="18" t="s">
        <v>359</v>
      </c>
      <c r="C20" t="s">
        <v>368</v>
      </c>
    </row>
    <row r="21" spans="1:3">
      <c r="A21" s="18" t="s">
        <v>360</v>
      </c>
    </row>
    <row r="22" spans="1:3">
      <c r="A22" s="18" t="s">
        <v>361</v>
      </c>
    </row>
    <row r="23" spans="1:3">
      <c r="A23" s="18" t="s">
        <v>362</v>
      </c>
    </row>
    <row r="25" spans="1:3" ht="23.5">
      <c r="A25" s="16" t="s">
        <v>363</v>
      </c>
    </row>
    <row r="26" spans="1:3">
      <c r="A26" s="17"/>
    </row>
    <row r="27" spans="1:3">
      <c r="A27" s="18" t="s">
        <v>364</v>
      </c>
    </row>
    <row r="28" spans="1:3">
      <c r="A28" s="18" t="s">
        <v>365</v>
      </c>
    </row>
    <row r="29" spans="1:3">
      <c r="A29" s="18" t="s">
        <v>366</v>
      </c>
    </row>
  </sheetData>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 data</vt:lpstr>
      <vt:lpstr>Clean_Data</vt:lpstr>
      <vt:lpstr>Analysis</vt:lpstr>
      <vt:lpstr>PivotTables</vt:lpstr>
      <vt:lpstr>Dashboard</vt:lpstr>
      <vt:lpstr>Sheet1</vt:lpstr>
      <vt:lpstr>Project-info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dc:creator>
  <cp:lastModifiedBy>Rahma</cp:lastModifiedBy>
  <dcterms:created xsi:type="dcterms:W3CDTF">2026-08-13T08:19:53Z</dcterms:created>
  <dcterms:modified xsi:type="dcterms:W3CDTF">2026-08-15T15:47:41Z</dcterms:modified>
</cp:coreProperties>
</file>